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D965DC4D-CDB1-49E7-A811-012781E7D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EVM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4" l="1"/>
  <c r="G25" i="14"/>
  <c r="G24" i="14"/>
  <c r="F24" i="14"/>
  <c r="G22" i="14" l="1"/>
  <c r="F22" i="14"/>
  <c r="E24" i="14"/>
  <c r="D24" i="14"/>
  <c r="C30" i="14" l="1"/>
  <c r="D22" i="14"/>
  <c r="E22" i="14" s="1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C31" i="14" l="1"/>
  <c r="E25" i="14"/>
  <c r="D25" i="14"/>
  <c r="C33" i="14" l="1"/>
  <c r="C32" i="14"/>
  <c r="C34" i="14" s="1"/>
</calcChain>
</file>

<file path=xl/sharedStrings.xml><?xml version="1.0" encoding="utf-8"?>
<sst xmlns="http://schemas.openxmlformats.org/spreadsheetml/2006/main" count="53" uniqueCount="53">
  <si>
    <t>Gestión del Valor Ganado</t>
  </si>
  <si>
    <t>Valor Ganado</t>
  </si>
  <si>
    <t>Proyecto:</t>
  </si>
  <si>
    <t xml:space="preserve">Planificació de estartegias de identificación y retención de clientes para generación de marketing </t>
  </si>
  <si>
    <t>ID:</t>
  </si>
  <si>
    <t>LTV_str</t>
  </si>
  <si>
    <t>Fecha de Inicio</t>
  </si>
  <si>
    <t>16 de febrero de 2026</t>
  </si>
  <si>
    <t>Fecha Fin:</t>
  </si>
  <si>
    <t>27 de febrero de 2026</t>
  </si>
  <si>
    <t>Fecha de Corte:</t>
  </si>
  <si>
    <t>25 de febrero de 2026</t>
  </si>
  <si>
    <t>Año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</si>
  <si>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</si>
  <si>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</si>
  <si>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</si>
  <si>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</si>
  <si>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</si>
  <si>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</si>
  <si>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</si>
  <si>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</si>
  <si>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</si>
  <si>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</si>
  <si>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</si>
  <si>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</si>
  <si>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Valor Planificado</t>
  </si>
  <si>
    <t>Valor Planificado Acumulado</t>
  </si>
  <si>
    <t>PV</t>
  </si>
  <si>
    <t>Costo Real</t>
  </si>
  <si>
    <t>Costo Real Acumulado</t>
  </si>
  <si>
    <t>AC</t>
  </si>
  <si>
    <t>Porcentaje de avance completado del mes</t>
  </si>
  <si>
    <t>%comp</t>
  </si>
  <si>
    <t xml:space="preserve">Valor ganado del trabajo realizado  </t>
  </si>
  <si>
    <t>Valor ganado del trabajo realizado acumulado</t>
  </si>
  <si>
    <t>EV</t>
  </si>
  <si>
    <t xml:space="preserve"> </t>
  </si>
  <si>
    <t>Costo total prespuestado BAC</t>
  </si>
  <si>
    <t>Indices y variaciones</t>
  </si>
  <si>
    <t>Valor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</si>
  <si>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</si>
  <si>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</si>
  <si>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</si>
  <si>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</si>
  <si>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</si>
  <si>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CV negativa, el proyecto está sobre gastado</t>
  </si>
  <si>
    <t>CV positiva, el proyecto ha gastado menos de lo presupuestado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</si>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</sst>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0.0"/>
    <numFmt numFmtId="166" formatCode="0.0000"/>
    <numFmt numFmtId="167" formatCode="_-* #,##0_-;\-* #,##0_-;_-* &quot;-&quot;??_-;_-@_-"/>
    <numFmt numFmtId="168" formatCode="_-&quot;$&quot;* #,##0_-;\-&quot;$&quot;* #,##0_-;_-&quot;$&quot;* &quot;-&quot;??_-;_-@_-"/>
    <numFmt numFmtId="169" formatCode="0.0%"/>
    <numFmt numFmtId="170" formatCode="#,##0_ ;[Red]\-#,##0\ "/>
  </numFmts>
  <fonts count="15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5" fontId="0" fillId="0" borderId="0" xfId="0" applyNumberFormat="1"/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166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5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quotePrefix="1" applyNumberFormat="1" applyFont="1" applyFill="1" applyBorder="1" applyAlignment="1" applyProtection="1">
      <alignment horizontal="right" vertical="top" wrapText="1"/>
      <protection locked="0"/>
    </xf>
    <xf numFmtId="3" fontId="2" fillId="3" borderId="7" xfId="0" applyNumberFormat="1" applyFont="1" applyFill="1" applyBorder="1" applyAlignment="1" applyProtection="1">
      <alignment horizontal="right" vertical="top" wrapText="1"/>
      <protection locked="0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7" fontId="2" fillId="0" borderId="4" xfId="1" applyNumberFormat="1" applyFont="1" applyBorder="1" applyAlignment="1">
      <alignment horizontal="right"/>
    </xf>
    <xf numFmtId="0" fontId="9" fillId="5" borderId="8" xfId="0" applyFont="1" applyFill="1" applyBorder="1" applyAlignment="1">
      <alignment horizontal="right"/>
    </xf>
    <xf numFmtId="0" fontId="0" fillId="5" borderId="11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8" fontId="0" fillId="3" borderId="14" xfId="1" applyNumberFormat="1" applyFont="1" applyFill="1" applyBorder="1"/>
    <xf numFmtId="169" fontId="2" fillId="3" borderId="19" xfId="2" applyNumberFormat="1" applyFont="1" applyFill="1" applyBorder="1" applyAlignment="1">
      <alignment horizontal="right" vertical="top" wrapText="1"/>
    </xf>
    <xf numFmtId="0" fontId="9" fillId="5" borderId="11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14" fontId="0" fillId="0" borderId="23" xfId="0" applyNumberFormat="1" applyBorder="1"/>
    <xf numFmtId="14" fontId="0" fillId="0" borderId="24" xfId="0" applyNumberFormat="1" applyBorder="1"/>
    <xf numFmtId="0" fontId="9" fillId="5" borderId="23" xfId="0" applyFont="1" applyFill="1" applyBorder="1"/>
    <xf numFmtId="0" fontId="9" fillId="5" borderId="24" xfId="0" applyFont="1" applyFill="1" applyBorder="1"/>
    <xf numFmtId="0" fontId="12" fillId="0" borderId="23" xfId="0" applyFont="1" applyBorder="1"/>
    <xf numFmtId="0" fontId="0" fillId="0" borderId="25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0" fillId="0" borderId="27" xfId="0" applyBorder="1"/>
    <xf numFmtId="0" fontId="2" fillId="0" borderId="0" xfId="0" applyFont="1" applyAlignment="1">
      <alignment vertical="center"/>
    </xf>
    <xf numFmtId="164" fontId="14" fillId="3" borderId="10" xfId="1" applyFont="1" applyFill="1" applyBorder="1" applyAlignment="1">
      <alignment horizontal="center"/>
    </xf>
    <xf numFmtId="9" fontId="2" fillId="3" borderId="20" xfId="2" applyFont="1" applyFill="1" applyBorder="1" applyAlignment="1">
      <alignment horizontal="right" vertical="top" wrapText="1"/>
    </xf>
    <xf numFmtId="9" fontId="2" fillId="3" borderId="21" xfId="2" applyFont="1" applyFill="1" applyBorder="1" applyAlignment="1">
      <alignment horizontal="right" vertical="top" wrapText="1"/>
    </xf>
    <xf numFmtId="169" fontId="2" fillId="3" borderId="20" xfId="2" applyNumberFormat="1" applyFont="1" applyFill="1" applyBorder="1" applyAlignment="1">
      <alignment horizontal="right" vertical="top" wrapText="1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0" fontId="0" fillId="0" borderId="21" xfId="0" applyBorder="1"/>
    <xf numFmtId="0" fontId="9" fillId="5" borderId="21" xfId="0" applyFont="1" applyFill="1" applyBorder="1"/>
    <xf numFmtId="0" fontId="9" fillId="5" borderId="20" xfId="0" applyFont="1" applyFill="1" applyBorder="1" applyAlignment="1">
      <alignment horizontal="center"/>
    </xf>
    <xf numFmtId="168" fontId="0" fillId="3" borderId="20" xfId="1" applyNumberFormat="1" applyFont="1" applyFill="1" applyBorder="1"/>
    <xf numFmtId="3" fontId="2" fillId="3" borderId="20" xfId="0" applyNumberFormat="1" applyFont="1" applyFill="1" applyBorder="1" applyAlignment="1" applyProtection="1">
      <alignment horizontal="right" vertical="top" wrapText="1"/>
      <protection locked="0"/>
    </xf>
    <xf numFmtId="170" fontId="0" fillId="3" borderId="20" xfId="1" applyNumberFormat="1" applyFont="1" applyFill="1" applyBorder="1"/>
  </cellXfs>
  <cellStyles count="3">
    <cellStyle name="Moneda" xfId="1" builtinId="4"/>
    <cellStyle name="Normal" xfId="0" builtinId="0"/>
    <cellStyle name="Porcentaje" xfId="2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2E7-A47E-674EDF2C14C0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B-42E7-A47E-674EDF2C14C0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5250</c:v>
                </c:pt>
                <c:pt idx="1">
                  <c:v>15750</c:v>
                </c:pt>
                <c:pt idx="2">
                  <c:v>31500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B-42E7-A47E-674EDF2C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16" dataDxfId="15" headerRowBorderDxfId="13" tableBorderDxfId="14" totalsRowBorderDxfId="12">
  <tableColumns count="12">
    <tableColumn id="1" xr3:uid="{00000000-0010-0000-0000-000001000000}" name="Semana 1" dataDxfId="11"/>
    <tableColumn id="2" xr3:uid="{00000000-0010-0000-0000-000002000000}" name="Semana 2" dataDxfId="10"/>
    <tableColumn id="3" xr3:uid="{00000000-0010-0000-0000-000003000000}" name="Semana 3" dataDxfId="9"/>
    <tableColumn id="4" xr3:uid="{00000000-0010-0000-0000-000004000000}" name="Semana 4" dataDxfId="8"/>
    <tableColumn id="5" xr3:uid="{00000000-0010-0000-0000-000005000000}" name="Semana 5" dataDxfId="7"/>
    <tableColumn id="6" xr3:uid="{00000000-0010-0000-0000-000006000000}" name="Semana 6" dataDxfId="6"/>
    <tableColumn id="7" xr3:uid="{00000000-0010-0000-0000-000007000000}" name="Semana 7" dataDxfId="5"/>
    <tableColumn id="8" xr3:uid="{00000000-0010-0000-0000-000008000000}" name="Semana 8" dataDxfId="4"/>
    <tableColumn id="9" xr3:uid="{00000000-0010-0000-0000-000009000000}" name="Semana 9" dataDxfId="3"/>
    <tableColumn id="10" xr3:uid="{00000000-0010-0000-0000-00000A000000}" name="Semana 10" dataDxfId="2"/>
    <tableColumn id="11" xr3:uid="{00000000-0010-0000-0000-00000B000000}" name="Semana 11" dataDxfId="1"/>
    <tableColumn id="12" xr3:uid="{00000000-0010-0000-0000-00000C000000}" name="Semana 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="86" zoomScaleNormal="100" workbookViewId="0">
      <selection activeCell="H23" sqref="H23"/>
    </sheetView>
  </sheetViews>
  <sheetFormatPr defaultColWidth="9.140625" defaultRowHeight="14.85"/>
  <cols>
    <col min="2" max="2" width="60.85546875" customWidth="1"/>
    <col min="3" max="3" width="22.7109375" customWidth="1"/>
    <col min="4" max="4" width="9.140625" customWidth="1"/>
    <col min="8" max="8" width="10.140625" customWidth="1"/>
    <col min="9" max="9" width="10.42578125" customWidth="1"/>
    <col min="10" max="10" width="10" customWidth="1"/>
    <col min="11" max="11" width="10.42578125" customWidth="1"/>
    <col min="12" max="12" width="10.5703125" customWidth="1"/>
    <col min="13" max="13" width="13" customWidth="1"/>
    <col min="14" max="14" width="10.5703125" customWidth="1"/>
    <col min="15" max="15" width="11.28515625" customWidth="1"/>
    <col min="17" max="17" width="10.28515625" bestFit="1" customWidth="1"/>
  </cols>
  <sheetData>
    <row r="1" spans="2:18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1">
      <c r="B4" s="10"/>
      <c r="C4" s="10"/>
      <c r="D4" s="12" t="s">
        <v>0</v>
      </c>
      <c r="F4" s="10"/>
      <c r="G4" s="10"/>
      <c r="H4" s="10"/>
      <c r="I4" s="10"/>
      <c r="J4" s="10"/>
      <c r="K4" s="10"/>
    </row>
    <row r="5" spans="2:18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2"/>
      <c r="O6" s="62"/>
      <c r="P6" s="8"/>
    </row>
    <row r="7" spans="2:18" ht="16.5" customHeight="1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63"/>
      <c r="O7" s="63"/>
      <c r="P7" s="9"/>
    </row>
    <row r="8" spans="2:18" ht="16.5" customHeight="1">
      <c r="B8" s="64" t="s">
        <v>1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9"/>
    </row>
    <row r="9" spans="2:18" ht="16.5" customHeight="1" thickBot="1">
      <c r="Q9" s="9"/>
    </row>
    <row r="10" spans="2:18" ht="16.5" customHeight="1">
      <c r="B10" s="40" t="s">
        <v>2</v>
      </c>
      <c r="C10" s="41" t="s">
        <v>3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Q10" s="9"/>
    </row>
    <row r="11" spans="2:18" ht="16.5" customHeight="1">
      <c r="B11" s="35" t="s">
        <v>4</v>
      </c>
      <c r="C11" s="65" t="s">
        <v>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44"/>
      <c r="Q11" s="9"/>
    </row>
    <row r="12" spans="2:18" ht="16.5" customHeight="1" thickBot="1">
      <c r="B12" s="36" t="s">
        <v>6</v>
      </c>
      <c r="C12" s="45" t="s">
        <v>7</v>
      </c>
      <c r="D12" s="46"/>
      <c r="E12" s="47" t="s">
        <v>8</v>
      </c>
      <c r="F12" s="48"/>
      <c r="G12" s="49" t="s">
        <v>9</v>
      </c>
      <c r="H12" s="50"/>
      <c r="I12" s="51"/>
      <c r="J12" s="47" t="s">
        <v>10</v>
      </c>
      <c r="K12" s="48"/>
      <c r="L12" s="45" t="s">
        <v>11</v>
      </c>
      <c r="M12" s="52"/>
      <c r="N12" s="53"/>
      <c r="O12" s="54"/>
      <c r="P12" s="9"/>
    </row>
    <row r="13" spans="2:18" ht="16.5" customHeight="1"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9"/>
    </row>
    <row r="14" spans="2:18" ht="16.5" customHeight="1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63"/>
      <c r="O14" s="63"/>
      <c r="P14" s="9"/>
      <c r="Q14" s="3"/>
    </row>
    <row r="15" spans="2:18" ht="16.5" customHeight="1" thickBot="1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63"/>
      <c r="O15" s="63"/>
      <c r="P15" s="9"/>
      <c r="Q15" s="3"/>
    </row>
    <row r="16" spans="2:18" ht="16.5" customHeight="1">
      <c r="B16" s="31"/>
      <c r="C16" s="32"/>
      <c r="D16" s="60" t="s">
        <v>12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1"/>
      <c r="P16" s="2"/>
      <c r="R16" s="3"/>
    </row>
    <row r="17" spans="2:15" ht="15" customHeight="1">
      <c r="B17" s="33"/>
      <c r="C17" s="66"/>
      <c r="D17" s="67" t="s">
        <v>13</v>
      </c>
      <c r="E17" s="67" t="s">
        <v>14</v>
      </c>
      <c r="F17" s="67" t="s">
        <v>15</v>
      </c>
      <c r="G17" s="67" t="s">
        <v>16</v>
      </c>
      <c r="H17" s="67" t="s">
        <v>17</v>
      </c>
      <c r="I17" s="67" t="s">
        <v>18</v>
      </c>
      <c r="J17" s="67" t="s">
        <v>19</v>
      </c>
      <c r="K17" s="67" t="s">
        <v>20</v>
      </c>
      <c r="L17" s="67" t="s">
        <v>21</v>
      </c>
      <c r="M17" s="67" t="s">
        <v>22</v>
      </c>
      <c r="N17" s="67" t="s">
        <v>23</v>
      </c>
      <c r="O17" s="67" t="s">
        <v>24</v>
      </c>
    </row>
    <row r="18" spans="2:15" ht="15.75" hidden="1" customHeight="1" thickBot="1">
      <c r="B18" s="34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>
      <c r="B19" s="35" t="s">
        <v>25</v>
      </c>
      <c r="C19" s="67"/>
      <c r="D19" s="21">
        <v>35500</v>
      </c>
      <c r="E19" s="21">
        <v>17000</v>
      </c>
      <c r="F19" s="21">
        <v>20000</v>
      </c>
      <c r="G19" s="21">
        <v>22000</v>
      </c>
      <c r="H19" s="21">
        <v>26000</v>
      </c>
      <c r="I19" s="21">
        <v>26500</v>
      </c>
      <c r="J19" s="21">
        <v>38000</v>
      </c>
      <c r="K19" s="21">
        <v>42500</v>
      </c>
      <c r="L19" s="21">
        <v>19000</v>
      </c>
      <c r="M19" s="21">
        <v>16000</v>
      </c>
      <c r="N19" s="22">
        <v>53000</v>
      </c>
      <c r="O19" s="23">
        <v>34500</v>
      </c>
    </row>
    <row r="20" spans="2:15" ht="15" customHeight="1">
      <c r="B20" s="35" t="s">
        <v>26</v>
      </c>
      <c r="C20" s="67" t="s">
        <v>27</v>
      </c>
      <c r="D20" s="68">
        <f>D19</f>
        <v>35500</v>
      </c>
      <c r="E20" s="68">
        <f>D19+E19</f>
        <v>52500</v>
      </c>
      <c r="F20" s="68">
        <f>E20+F19</f>
        <v>72500</v>
      </c>
      <c r="G20" s="68">
        <f>F20+G19</f>
        <v>94500</v>
      </c>
      <c r="H20" s="68">
        <f t="shared" ref="H20:O20" si="0">G20+H19</f>
        <v>120500</v>
      </c>
      <c r="I20" s="68">
        <f t="shared" si="0"/>
        <v>147000</v>
      </c>
      <c r="J20" s="68">
        <f t="shared" si="0"/>
        <v>185000</v>
      </c>
      <c r="K20" s="68">
        <f t="shared" si="0"/>
        <v>227500</v>
      </c>
      <c r="L20" s="68">
        <f t="shared" si="0"/>
        <v>246500</v>
      </c>
      <c r="M20" s="68">
        <f t="shared" si="0"/>
        <v>262500</v>
      </c>
      <c r="N20" s="68">
        <f t="shared" si="0"/>
        <v>315500</v>
      </c>
      <c r="O20" s="38">
        <f t="shared" si="0"/>
        <v>350000</v>
      </c>
    </row>
    <row r="21" spans="2:15" ht="15" customHeight="1">
      <c r="B21" s="35" t="s">
        <v>28</v>
      </c>
      <c r="C21" s="67"/>
      <c r="D21" s="69">
        <v>30000</v>
      </c>
      <c r="E21" s="69">
        <v>16000</v>
      </c>
      <c r="F21" s="69">
        <v>18500</v>
      </c>
      <c r="G21" s="69">
        <v>20100</v>
      </c>
      <c r="H21" s="69"/>
      <c r="I21" s="69"/>
      <c r="J21" s="69"/>
      <c r="K21" s="69"/>
      <c r="L21" s="69"/>
      <c r="M21" s="69"/>
      <c r="N21" s="69"/>
      <c r="O21" s="24"/>
    </row>
    <row r="22" spans="2:15">
      <c r="B22" s="35" t="s">
        <v>29</v>
      </c>
      <c r="C22" s="67" t="s">
        <v>30</v>
      </c>
      <c r="D22" s="68">
        <f>D21</f>
        <v>30000</v>
      </c>
      <c r="E22" s="68">
        <f>D22+E21</f>
        <v>46000</v>
      </c>
      <c r="F22" s="68">
        <f t="shared" ref="F22" si="1">E22+F21</f>
        <v>64500</v>
      </c>
      <c r="G22" s="68">
        <f>F22+G21</f>
        <v>84600</v>
      </c>
      <c r="H22" s="68"/>
      <c r="I22" s="68"/>
      <c r="J22" s="68"/>
      <c r="K22" s="68"/>
      <c r="L22" s="68"/>
      <c r="M22" s="68"/>
      <c r="N22" s="68"/>
      <c r="O22" s="68"/>
    </row>
    <row r="23" spans="2:15">
      <c r="B23" s="35" t="s">
        <v>31</v>
      </c>
      <c r="C23" s="67" t="s">
        <v>32</v>
      </c>
      <c r="D23" s="39">
        <v>1.4999999999999999E-2</v>
      </c>
      <c r="E23" s="39">
        <v>0.03</v>
      </c>
      <c r="F23" s="59">
        <v>0.06</v>
      </c>
      <c r="G23" s="59">
        <v>0.02</v>
      </c>
      <c r="H23" s="57"/>
      <c r="I23" s="57"/>
      <c r="J23" s="57"/>
      <c r="K23" s="57"/>
      <c r="L23" s="57"/>
      <c r="M23" s="57"/>
      <c r="N23" s="57"/>
      <c r="O23" s="58"/>
    </row>
    <row r="24" spans="2:15">
      <c r="B24" s="35" t="s">
        <v>33</v>
      </c>
      <c r="C24" s="67"/>
      <c r="D24" s="68">
        <f>D23*$C$27</f>
        <v>5250</v>
      </c>
      <c r="E24" s="68">
        <f>E23*$C$27</f>
        <v>10500</v>
      </c>
      <c r="F24" s="68">
        <f>F23*$C$27</f>
        <v>21000</v>
      </c>
      <c r="G24" s="68">
        <f>G23*$C$27</f>
        <v>7000</v>
      </c>
      <c r="H24" s="68"/>
      <c r="I24" s="68"/>
      <c r="J24" s="68"/>
      <c r="K24" s="68"/>
      <c r="L24" s="68"/>
      <c r="M24" s="68"/>
      <c r="N24" s="68"/>
      <c r="O24" s="68"/>
    </row>
    <row r="25" spans="2:15" ht="15.6" thickBot="1">
      <c r="B25" s="36" t="s">
        <v>34</v>
      </c>
      <c r="C25" s="37" t="s">
        <v>35</v>
      </c>
      <c r="D25" s="68">
        <f>D24</f>
        <v>5250</v>
      </c>
      <c r="E25" s="68">
        <f>D24+E24</f>
        <v>15750</v>
      </c>
      <c r="F25" s="68">
        <f t="shared" ref="F25:G25" si="2">E24+F24</f>
        <v>31500</v>
      </c>
      <c r="G25" s="68">
        <f t="shared" si="2"/>
        <v>28000</v>
      </c>
      <c r="H25" s="68"/>
      <c r="I25" s="68"/>
      <c r="J25" s="68"/>
      <c r="K25" s="68"/>
      <c r="L25" s="68"/>
      <c r="M25" s="68"/>
      <c r="N25" s="68"/>
      <c r="O25" s="68"/>
    </row>
    <row r="26" spans="2:15" ht="16.7" thickBot="1">
      <c r="D26" s="1" t="s">
        <v>36</v>
      </c>
    </row>
    <row r="27" spans="2:15" ht="16.7" thickBot="1">
      <c r="B27" s="30" t="s">
        <v>37</v>
      </c>
      <c r="C27" s="56">
        <v>350000</v>
      </c>
      <c r="D27" s="1"/>
    </row>
    <row r="28" spans="2:15" ht="16.7" thickBot="1">
      <c r="C28" s="13"/>
      <c r="D28" s="1"/>
    </row>
    <row r="29" spans="2:15">
      <c r="B29" s="26" t="s">
        <v>38</v>
      </c>
      <c r="C29" s="27" t="s">
        <v>39</v>
      </c>
    </row>
    <row r="30" spans="2:15" ht="18.75" customHeight="1">
      <c r="B30" s="25" t="s">
        <v>40</v>
      </c>
      <c r="C30" s="68">
        <f>E25-E22</f>
        <v>-30250</v>
      </c>
      <c r="D30" s="7"/>
      <c r="E30" s="7"/>
    </row>
    <row r="31" spans="2:15" ht="30.75" customHeight="1">
      <c r="B31" s="25" t="s">
        <v>41</v>
      </c>
      <c r="C31" s="70">
        <f>E25-E20</f>
        <v>-36750</v>
      </c>
    </row>
    <row r="32" spans="2:15" ht="33" customHeight="1">
      <c r="B32" s="25" t="s">
        <v>42</v>
      </c>
      <c r="C32" s="14">
        <f>(E25/E22)</f>
        <v>0.34239130434782611</v>
      </c>
    </row>
    <row r="33" spans="2:3" ht="36" customHeight="1">
      <c r="B33" s="25" t="s">
        <v>43</v>
      </c>
      <c r="C33" s="14">
        <f>E25/E20</f>
        <v>0.3</v>
      </c>
    </row>
    <row r="34" spans="2:3" ht="35.25" customHeight="1" thickBot="1">
      <c r="B34" s="28" t="s">
        <v>44</v>
      </c>
      <c r="C34" s="29">
        <f>C27/C32</f>
        <v>1022222.2222222221</v>
      </c>
    </row>
    <row r="37" spans="2:3">
      <c r="B37" s="55" t="s">
        <v>45</v>
      </c>
    </row>
    <row r="38" spans="2:3">
      <c r="B38" s="55" t="s">
        <v>46</v>
      </c>
    </row>
    <row r="39" spans="2:3">
      <c r="B39" s="55"/>
    </row>
    <row r="40" spans="2:3">
      <c r="B40" s="55" t="s">
        <v>47</v>
      </c>
    </row>
    <row r="41" spans="2:3">
      <c r="B41" s="55" t="s">
        <v>48</v>
      </c>
    </row>
    <row r="42" spans="2:3">
      <c r="B42" s="55"/>
    </row>
    <row r="43" spans="2:3">
      <c r="B43" s="55" t="s">
        <v>49</v>
      </c>
    </row>
    <row r="44" spans="2:3">
      <c r="B44" s="55" t="s">
        <v>50</v>
      </c>
    </row>
    <row r="45" spans="2:3">
      <c r="B45" s="55"/>
    </row>
    <row r="46" spans="2:3">
      <c r="B46" s="55" t="s">
        <v>51</v>
      </c>
    </row>
    <row r="47" spans="2:3">
      <c r="B47" s="55" t="s">
        <v>52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3" type="noConversion"/>
  <conditionalFormatting sqref="C30:C31">
    <cfRule type="expression" dxfId="42" priority="1">
      <formula>IF(ROUND(($N$14-$N$7)/30,0)=1,1,0)</formula>
    </cfRule>
  </conditionalFormatting>
  <conditionalFormatting sqref="D18:D25">
    <cfRule type="expression" dxfId="41" priority="7">
      <formula>IF(ROUND(($N$14-$N$7)/30,0)=1,1,0)</formula>
    </cfRule>
  </conditionalFormatting>
  <conditionalFormatting sqref="E18:E22 F22:G22">
    <cfRule type="expression" dxfId="40" priority="28">
      <formula>IF(ROUND(($N$14-$N$7)/30,0)=2,1,0)</formula>
    </cfRule>
  </conditionalFormatting>
  <conditionalFormatting sqref="E23:E24 F24:G24">
    <cfRule type="expression" dxfId="39" priority="2">
      <formula>IF(ROUND(($N$14-$N$7)/30,0)=1,1,0)</formula>
    </cfRule>
  </conditionalFormatting>
  <conditionalFormatting sqref="E25:G25">
    <cfRule type="expression" dxfId="38" priority="12">
      <formula>IF(ROUND(($N$14-$N$7)/30,0)=2,1,0)</formula>
    </cfRule>
  </conditionalFormatting>
  <conditionalFormatting sqref="F18:F21 F23">
    <cfRule type="expression" dxfId="37" priority="26">
      <formula>IF(ROUND(($N$14-$N$7)/30,0)=3,1,0)</formula>
    </cfRule>
  </conditionalFormatting>
  <conditionalFormatting sqref="G18:G21 G23">
    <cfRule type="expression" dxfId="36" priority="25">
      <formula>IF(ROUND(($N$14-$N$7)/30,0)=4,1,0)</formula>
    </cfRule>
  </conditionalFormatting>
  <conditionalFormatting sqref="H18:H23">
    <cfRule type="expression" dxfId="35" priority="24">
      <formula>IF(ROUND(($N$14-$N$7)/30,0)=5,1,0)</formula>
    </cfRule>
  </conditionalFormatting>
  <conditionalFormatting sqref="H25">
    <cfRule type="expression" dxfId="34" priority="9">
      <formula>IF(ROUND(($N$14-$N$7)/30,0)=5,1,0)</formula>
    </cfRule>
  </conditionalFormatting>
  <conditionalFormatting sqref="H24:J24">
    <cfRule type="expression" dxfId="33" priority="15">
      <formula>IF(ROUND(($N$14-$N$7)/30,0)=1,1,0)</formula>
    </cfRule>
  </conditionalFormatting>
  <conditionalFormatting sqref="I18:I23">
    <cfRule type="expression" dxfId="32" priority="23">
      <formula>IF(ROUND(($N$14-$N$7)/30,0)=6,1,0)</formula>
    </cfRule>
  </conditionalFormatting>
  <conditionalFormatting sqref="I25">
    <cfRule type="expression" dxfId="31" priority="8">
      <formula>IF(ROUND(($N$14-$N$7)/30,0)=6,1,0)</formula>
    </cfRule>
  </conditionalFormatting>
  <conditionalFormatting sqref="J18:J23">
    <cfRule type="expression" dxfId="30" priority="22">
      <formula>IF(ROUND(($N$14-$N$7)/30,0)=7,1,0)</formula>
    </cfRule>
  </conditionalFormatting>
  <conditionalFormatting sqref="K18:K21">
    <cfRule type="expression" dxfId="29" priority="33">
      <formula>IF(ROUND(($N$14-$N$7)/30,0)=8,1,0)</formula>
    </cfRule>
  </conditionalFormatting>
  <conditionalFormatting sqref="K23">
    <cfRule type="expression" dxfId="28" priority="49">
      <formula>IF(ROUND(($N$14-$N$7)/30,0)=8,1,0)</formula>
    </cfRule>
  </conditionalFormatting>
  <conditionalFormatting sqref="K22:O22">
    <cfRule type="expression" dxfId="27" priority="5">
      <formula>IF(ROUND(($N$14-$N$7)/30,0)=7,1,0)</formula>
    </cfRule>
  </conditionalFormatting>
  <conditionalFormatting sqref="K24:O24">
    <cfRule type="expression" dxfId="26" priority="14">
      <formula>IF(ROUND(($N$14-$N$7)/30,0)=1,1,0)</formula>
    </cfRule>
  </conditionalFormatting>
  <conditionalFormatting sqref="K25:O25">
    <cfRule type="expression" dxfId="25" priority="6">
      <formula>IF(ROUND(($N$14-$N$7)/30,0)=7,1,0)</formula>
    </cfRule>
  </conditionalFormatting>
  <conditionalFormatting sqref="L18:L21">
    <cfRule type="expression" dxfId="24" priority="32">
      <formula>IF(ROUND(($N$14-$N$7)/30,0)=9,1,0)</formula>
    </cfRule>
  </conditionalFormatting>
  <conditionalFormatting sqref="L23">
    <cfRule type="expression" dxfId="23" priority="50">
      <formula>IF(ROUND(($N$14-$N$7)/30,0)=9,1,0)</formula>
    </cfRule>
  </conditionalFormatting>
  <conditionalFormatting sqref="M18:M21">
    <cfRule type="expression" dxfId="22" priority="31">
      <formula>IF(ROUND(($N$14-$N$7)/30,0)=10,1,0)</formula>
    </cfRule>
  </conditionalFormatting>
  <conditionalFormatting sqref="M23">
    <cfRule type="expression" dxfId="21" priority="51">
      <formula>IF(ROUND(($N$14-$N$7)/30,0)=10,1,0)</formula>
    </cfRule>
  </conditionalFormatting>
  <conditionalFormatting sqref="N6:N7 N9:N11 M12 N13:N15">
    <cfRule type="expression" dxfId="20" priority="44">
      <formula>IF(ROUND(($N$14-$N$7)/30,0)=3,1,0)</formula>
    </cfRule>
  </conditionalFormatting>
  <conditionalFormatting sqref="N18:N21">
    <cfRule type="expression" dxfId="19" priority="30">
      <formula>IF(ROUND(($N$14-$N$7)/30,0)=11,1,0)</formula>
    </cfRule>
  </conditionalFormatting>
  <conditionalFormatting sqref="N23">
    <cfRule type="expression" dxfId="18" priority="52">
      <formula>IF(ROUND(($N$14-$N$7)/30,0)=11,1,0)</formula>
    </cfRule>
  </conditionalFormatting>
  <conditionalFormatting sqref="O18:O21 O23">
    <cfRule type="expression" dxfId="17" priority="53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482285-D07A-49DB-B136-7E3C11D017FF}"/>
</file>

<file path=customXml/itemProps2.xml><?xml version="1.0" encoding="utf-8"?>
<ds:datastoreItem xmlns:ds="http://schemas.openxmlformats.org/officeDocument/2006/customXml" ds:itemID="{69C8159F-5A4B-4646-866E-81EAE13C5928}"/>
</file>

<file path=customXml/itemProps3.xml><?xml version="1.0" encoding="utf-8"?>
<ds:datastoreItem xmlns:ds="http://schemas.openxmlformats.org/officeDocument/2006/customXml" ds:itemID="{23D2E1C9-1BB6-403A-A66D-808A2DE39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Cupa</dc:creator>
  <cp:keywords/>
  <dc:description/>
  <cp:lastModifiedBy/>
  <cp:revision/>
  <dcterms:created xsi:type="dcterms:W3CDTF">2011-05-27T04:00:15Z</dcterms:created>
  <dcterms:modified xsi:type="dcterms:W3CDTF">2026-04-24T15:23:50Z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