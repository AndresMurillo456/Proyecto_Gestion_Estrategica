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F423BCA4-BC4E-463D-AE70-F65EC9C2865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Detalle de Costos" sheetId="11" r:id="rId1"/>
    <sheet name="Curva 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4" l="1"/>
  <c r="G18" i="4" s="1"/>
  <c r="E18" i="4"/>
  <c r="D18" i="4"/>
  <c r="C48" i="11"/>
  <c r="D48" i="11"/>
  <c r="E48" i="11"/>
  <c r="F48" i="11"/>
  <c r="G48" i="11"/>
  <c r="H48" i="11"/>
  <c r="C45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B48" i="11" l="1"/>
  <c r="H15" i="4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<sst xmlns="http://schemas.openxmlformats.org/spreadsheetml/2006/main" count="59" uniqueCount="56">
  <si>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Costos por paquete de trabajo</t>
  </si>
  <si>
    <t xml:space="preserve">Planificació de estartegias de identificación y retención de clientes para generación de marketing </t>
  </si>
  <si>
    <t>LTV_str</t>
  </si>
  <si>
    <t>Paquete de Trabajo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</si>
  <si>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</si>
  <si>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</si>
  <si>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</si>
  <si>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</si>
  <si>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</si>
  <si>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</si>
  <si>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</si>
  <si>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</si>
  <si>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</si>
  <si>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</si>
  <si>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</si>
  <si>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</si>
  <si>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</si>
  <si>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</si>
  <si>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</si>
  <si>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</si>
  <si>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</si>
  <si>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Creación de variables adicionales</t>
  </si>
  <si>
    <t>Preparación del dataset para modelos CLV</t>
  </si>
  <si>
    <t>Separación de datos (train/validación)</t>
  </si>
  <si>
    <t xml:space="preserve">Modelado del Customer Lifetime Value 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</si>
  <si>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</si>
  <si>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</si>
  <si>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</si>
  <si>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</si>
  <si>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Segmentación basada en CLV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</si>
  <si>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</si>
  <si>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</si>
  <si>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</si>
  <si>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</si>
  <si>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Estrategias de marketing y ROI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</si>
  <si>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</si>
  <si>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</si>
  <si>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</si>
  <si>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</si>
  <si>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Preparación del reporte y presentación ejecutiva </t>
  </si>
  <si>
    <t xml:space="preserve">Documentación técnica y cierre del proyecto </t>
  </si>
  <si>
    <t>TOTAL</t>
  </si>
  <si>
    <t>Costos por fases</t>
  </si>
  <si>
    <t>Curva S de Recursos</t>
  </si>
  <si>
    <t>Proyecto:</t>
  </si>
  <si>
    <t>ID:</t>
  </si>
  <si>
    <t>Fecha de Inicio</t>
  </si>
  <si>
    <t>16 de febrero de 2026</t>
  </si>
  <si>
    <t>Fecha Fin:</t>
  </si>
  <si>
    <t>27 de febrero de 2026</t>
  </si>
  <si>
    <t>Fecha de Corte:</t>
  </si>
  <si>
    <t>25 de febrero de 2026</t>
  </si>
  <si>
    <t>Valor Planificado</t>
  </si>
  <si>
    <t>Valor Planificado Acumulado</t>
  </si>
  <si>
    <t>Costo Real</t>
  </si>
  <si>
    <t>Costo Real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</si>
</sst>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73">
    <xf numFmtId="0" fontId="0" fillId="0" borderId="0" xfId="0"/>
    <xf numFmtId="16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164" fontId="0" fillId="0" borderId="13" xfId="1" applyFont="1" applyBorder="1"/>
    <xf numFmtId="16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164" fontId="10" fillId="0" borderId="16" xfId="1" applyFont="1" applyBorder="1" applyAlignment="1" applyProtection="1">
      <alignment horizontal="center" vertical="top"/>
      <protection locked="0"/>
    </xf>
    <xf numFmtId="164" fontId="10" fillId="0" borderId="16" xfId="1" applyFont="1" applyBorder="1" applyAlignment="1" applyProtection="1">
      <alignment horizontal="center" vertical="top" wrapText="1"/>
      <protection locked="0"/>
    </xf>
    <xf numFmtId="164" fontId="10" fillId="0" borderId="16" xfId="1" applyFont="1" applyBorder="1" applyAlignment="1" applyProtection="1">
      <alignment vertical="top"/>
      <protection locked="0"/>
    </xf>
    <xf numFmtId="164" fontId="4" fillId="4" borderId="0" xfId="1" applyFont="1" applyFill="1" applyProtection="1">
      <protection locked="0"/>
    </xf>
    <xf numFmtId="164" fontId="9" fillId="5" borderId="16" xfId="1" applyFont="1" applyFill="1" applyBorder="1" applyAlignment="1" applyProtection="1">
      <alignment vertical="top"/>
      <protection locked="0"/>
    </xf>
    <xf numFmtId="164" fontId="9" fillId="5" borderId="16" xfId="1" applyFont="1" applyFill="1" applyBorder="1" applyAlignment="1" applyProtection="1">
      <alignment horizontal="right" vertical="top"/>
      <protection locked="0"/>
    </xf>
    <xf numFmtId="164" fontId="9" fillId="5" borderId="19" xfId="1" applyFont="1" applyFill="1" applyBorder="1" applyAlignment="1" applyProtection="1">
      <alignment vertical="top"/>
      <protection locked="0"/>
    </xf>
    <xf numFmtId="164" fontId="9" fillId="5" borderId="19" xfId="1" applyFont="1" applyFill="1" applyBorder="1" applyAlignment="1" applyProtection="1">
      <alignment horizontal="right" vertical="top"/>
      <protection locked="0"/>
    </xf>
    <xf numFmtId="164" fontId="10" fillId="0" borderId="1" xfId="1" applyFont="1" applyBorder="1" applyAlignment="1" applyProtection="1">
      <alignment horizontal="center" vertical="top"/>
      <protection locked="0"/>
    </xf>
    <xf numFmtId="164" fontId="10" fillId="0" borderId="1" xfId="1" applyFont="1" applyBorder="1" applyAlignment="1" applyProtection="1">
      <alignment horizontal="center" vertical="top" wrapText="1"/>
      <protection locked="0"/>
    </xf>
    <xf numFmtId="164" fontId="10" fillId="0" borderId="1" xfId="1" applyFont="1" applyBorder="1" applyAlignment="1" applyProtection="1">
      <alignment vertical="top"/>
      <protection locked="0"/>
    </xf>
    <xf numFmtId="164" fontId="4" fillId="4" borderId="1" xfId="1" applyFont="1" applyFill="1" applyBorder="1" applyProtection="1">
      <protection locked="0"/>
    </xf>
    <xf numFmtId="164" fontId="4" fillId="6" borderId="24" xfId="1" applyFont="1" applyFill="1" applyBorder="1" applyProtection="1">
      <protection locked="0"/>
    </xf>
    <xf numFmtId="164" fontId="4" fillId="4" borderId="0" xfId="0" applyNumberFormat="1" applyFont="1" applyFill="1" applyProtection="1"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S'!$D$16:$O$16</c:f>
              <c:numCache>
                <c:formatCode>_-"$"* #,##0.00_-;\-"$"* #,##0.00_-;_-"$"* "-"??_-;_-@_-</c:formatCode>
                <c:ptCount val="12"/>
                <c:pt idx="0">
                  <c:v>35500</c:v>
                </c:pt>
                <c:pt idx="1">
                  <c:v>52500</c:v>
                </c:pt>
                <c:pt idx="2">
                  <c:v>72500</c:v>
                </c:pt>
                <c:pt idx="3">
                  <c:v>94500</c:v>
                </c:pt>
                <c:pt idx="4">
                  <c:v>120500</c:v>
                </c:pt>
                <c:pt idx="5">
                  <c:v>147000</c:v>
                </c:pt>
                <c:pt idx="6">
                  <c:v>185000</c:v>
                </c:pt>
                <c:pt idx="7">
                  <c:v>227500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'Curva S'!$D$18:$O$18</c:f>
              <c:numCache>
                <c:formatCode>_-"$"* #,##0.00_-;\-"$"* #,##0.00_-;_-"$"* "-"??_-;_-@_-</c:formatCode>
                <c:ptCount val="12"/>
                <c:pt idx="0">
                  <c:v>30000</c:v>
                </c:pt>
                <c:pt idx="1">
                  <c:v>46000</c:v>
                </c:pt>
                <c:pt idx="2">
                  <c:v>64500</c:v>
                </c:pt>
                <c:pt idx="3">
                  <c:v>84600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-&quot;$&quot;* #,##0.00_-;\-&quot;$&quot;* #,##0.00_-;_-&quot;$&quot;* &quot;-&quot;??_-;_-@_-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zoomScaleNormal="100" workbookViewId="0">
      <pane xSplit="7" topLeftCell="H1" activePane="topRight" state="frozen"/>
      <selection pane="topRight" activeCell="C42" sqref="C42"/>
    </sheetView>
  </sheetViews>
  <sheetFormatPr defaultColWidth="11.42578125" defaultRowHeight="14.85"/>
  <cols>
    <col min="1" max="1" width="7.7109375" style="25" bestFit="1" customWidth="1"/>
    <col min="2" max="2" width="49" style="26" bestFit="1" customWidth="1"/>
    <col min="3" max="3" width="12" style="26" customWidth="1"/>
    <col min="4" max="4" width="11.85546875" style="26" customWidth="1"/>
    <col min="5" max="5" width="11.42578125" style="26" customWidth="1"/>
    <col min="6" max="6" width="12" style="26" customWidth="1"/>
    <col min="7" max="7" width="11.28515625" style="26" customWidth="1"/>
    <col min="8" max="9" width="11.7109375" style="26" customWidth="1"/>
    <col min="10" max="11" width="11.28515625" style="26" customWidth="1"/>
    <col min="12" max="12" width="11.7109375" style="26" customWidth="1"/>
    <col min="13" max="13" width="11.42578125" style="26" customWidth="1"/>
    <col min="14" max="14" width="12.85546875" style="26" customWidth="1"/>
    <col min="15" max="62" width="10.42578125" style="26" customWidth="1"/>
    <col min="63" max="16384" width="11.42578125" style="26"/>
  </cols>
  <sheetData>
    <row r="3" spans="1:62" ht="21">
      <c r="D3" s="27" t="s">
        <v>0</v>
      </c>
    </row>
    <row r="6" spans="1:62" ht="15.6" customHeight="1">
      <c r="A6" s="64" t="s">
        <v>1</v>
      </c>
      <c r="B6" s="64"/>
      <c r="C6" s="64"/>
      <c r="D6" s="64"/>
      <c r="E6" s="64"/>
      <c r="F6" s="64"/>
      <c r="G6" s="64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>
      <c r="A7" s="31" t="s">
        <v>2</v>
      </c>
      <c r="B7" s="31" t="s">
        <v>3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>
      <c r="A8" s="69" t="s">
        <v>4</v>
      </c>
      <c r="B8" s="70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>
      <c r="A9" s="65" t="s">
        <v>5</v>
      </c>
      <c r="B9" s="66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>
      <c r="A10" s="30">
        <v>1.1000000000000001</v>
      </c>
      <c r="B10" s="34" t="s">
        <v>6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>
      <c r="A11" s="30">
        <v>1.2</v>
      </c>
      <c r="B11" s="34" t="s">
        <v>7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>
      <c r="A12" s="30">
        <v>1.3</v>
      </c>
      <c r="B12" s="34" t="s">
        <v>8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>
      <c r="A13" s="30">
        <v>1.4</v>
      </c>
      <c r="B13" s="34" t="s">
        <v>9</v>
      </c>
      <c r="C13" s="37">
        <v>12000</v>
      </c>
      <c r="D13" s="37"/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>
      <c r="A14" s="30">
        <v>1.5</v>
      </c>
      <c r="B14" s="34" t="s">
        <v>10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>
      <c r="A15" s="30">
        <v>1.6</v>
      </c>
      <c r="B15" s="34" t="s">
        <v>11</v>
      </c>
      <c r="C15" s="36"/>
      <c r="D15" s="36">
        <v>6000</v>
      </c>
      <c r="E15" s="36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>
      <c r="A16" s="30">
        <v>1.7</v>
      </c>
      <c r="B16" s="34" t="s">
        <v>12</v>
      </c>
      <c r="C16" s="36"/>
      <c r="D16" s="36">
        <v>2500</v>
      </c>
      <c r="E16" s="36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>
      <c r="A17" s="30">
        <v>1.8</v>
      </c>
      <c r="B17" s="34" t="s">
        <v>13</v>
      </c>
      <c r="C17" s="36"/>
      <c r="D17" s="38">
        <v>2500</v>
      </c>
      <c r="E17" s="36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>
      <c r="A18" s="71" t="s">
        <v>14</v>
      </c>
      <c r="B18" s="72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>
      <c r="A19" s="30">
        <v>2.1</v>
      </c>
      <c r="B19" s="34" t="s">
        <v>15</v>
      </c>
      <c r="C19" s="36"/>
      <c r="D19" s="37"/>
      <c r="E19" s="38">
        <v>5000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>
      <c r="A20" s="30">
        <v>2.2000000000000002</v>
      </c>
      <c r="B20" s="34" t="s">
        <v>16</v>
      </c>
      <c r="C20" s="36"/>
      <c r="D20" s="37"/>
      <c r="E20" s="38">
        <v>15000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>
      <c r="A21" s="30">
        <v>2.2999999999999998</v>
      </c>
      <c r="B21" s="34" t="s">
        <v>17</v>
      </c>
      <c r="C21" s="36"/>
      <c r="D21" s="37"/>
      <c r="E21" s="38"/>
      <c r="F21" s="38">
        <v>12000</v>
      </c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>
      <c r="A22" s="30">
        <v>2.4</v>
      </c>
      <c r="B22" s="34" t="s">
        <v>18</v>
      </c>
      <c r="C22" s="36"/>
      <c r="D22" s="37"/>
      <c r="E22" s="38"/>
      <c r="F22" s="38">
        <v>10000</v>
      </c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>
      <c r="A23" s="65" t="s">
        <v>19</v>
      </c>
      <c r="B23" s="66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>
      <c r="A24" s="30">
        <v>3.1</v>
      </c>
      <c r="B24" s="34" t="s">
        <v>20</v>
      </c>
      <c r="C24" s="36"/>
      <c r="D24" s="37"/>
      <c r="E24" s="36"/>
      <c r="F24" s="38"/>
      <c r="G24" s="38">
        <v>8000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>
      <c r="A25" s="30">
        <v>3.2</v>
      </c>
      <c r="B25" s="34" t="s">
        <v>21</v>
      </c>
      <c r="C25" s="36"/>
      <c r="D25" s="37"/>
      <c r="E25" s="36"/>
      <c r="F25" s="38"/>
      <c r="G25" s="38">
        <v>18000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>
      <c r="A26" s="30">
        <v>3.3</v>
      </c>
      <c r="B26" s="34" t="s">
        <v>22</v>
      </c>
      <c r="C26" s="36"/>
      <c r="D26" s="37"/>
      <c r="E26" s="36"/>
      <c r="F26" s="38"/>
      <c r="G26" s="38"/>
      <c r="H26" s="38">
        <v>14500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>
      <c r="A27" s="30">
        <v>3.4</v>
      </c>
      <c r="B27" s="34" t="s">
        <v>23</v>
      </c>
      <c r="C27" s="36"/>
      <c r="D27" s="37"/>
      <c r="E27" s="36"/>
      <c r="F27" s="38"/>
      <c r="G27" s="38"/>
      <c r="H27" s="38">
        <v>12000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>
      <c r="A28" s="65" t="s">
        <v>24</v>
      </c>
      <c r="B28" s="66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>
      <c r="A29" s="30">
        <v>4.0999999999999996</v>
      </c>
      <c r="B29" s="34" t="s">
        <v>25</v>
      </c>
      <c r="C29" s="36"/>
      <c r="D29" s="37"/>
      <c r="E29" s="36"/>
      <c r="F29" s="38"/>
      <c r="G29" s="38"/>
      <c r="H29" s="38"/>
      <c r="I29" s="38">
        <v>20000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>
      <c r="A30" s="30">
        <v>4.2</v>
      </c>
      <c r="B30" s="34" t="s">
        <v>26</v>
      </c>
      <c r="C30" s="36"/>
      <c r="D30" s="37"/>
      <c r="E30" s="36"/>
      <c r="F30" s="38"/>
      <c r="G30" s="38"/>
      <c r="H30" s="38"/>
      <c r="I30" s="38">
        <v>18000</v>
      </c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>
      <c r="A31" s="30">
        <v>4.3</v>
      </c>
      <c r="B31" s="34" t="s">
        <v>27</v>
      </c>
      <c r="C31" s="36"/>
      <c r="D31" s="37"/>
      <c r="E31" s="36"/>
      <c r="F31" s="38"/>
      <c r="G31" s="38"/>
      <c r="H31" s="38"/>
      <c r="I31" s="38"/>
      <c r="J31" s="38">
        <v>22500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>
      <c r="A32" s="30">
        <v>4.4000000000000004</v>
      </c>
      <c r="B32" s="34" t="s">
        <v>28</v>
      </c>
      <c r="C32" s="36"/>
      <c r="D32" s="37"/>
      <c r="E32" s="36"/>
      <c r="F32" s="38"/>
      <c r="G32" s="38"/>
      <c r="H32" s="38"/>
      <c r="I32" s="38"/>
      <c r="J32" s="38">
        <v>20000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>
      <c r="A33" s="67" t="s">
        <v>29</v>
      </c>
      <c r="B33" s="68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>
      <c r="A34" s="35">
        <v>5.0999999999999996</v>
      </c>
      <c r="B34" s="34" t="s">
        <v>30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>
      <c r="A35" s="35">
        <v>5.2</v>
      </c>
      <c r="B35" s="34" t="s">
        <v>31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>
      <c r="A36" s="35">
        <v>5.3</v>
      </c>
      <c r="B36" s="34" t="s">
        <v>32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>
      <c r="A37" s="35">
        <v>5.4</v>
      </c>
      <c r="B37" s="34" t="s">
        <v>33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>
      <c r="A38" s="67" t="s">
        <v>34</v>
      </c>
      <c r="B38" s="68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>
      <c r="A39" s="35">
        <v>6.1</v>
      </c>
      <c r="B39" s="34" t="s">
        <v>35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>
      <c r="A40" s="35">
        <v>6.2</v>
      </c>
      <c r="B40" s="34" t="s">
        <v>36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>
      <c r="A41" s="35">
        <v>6.3</v>
      </c>
      <c r="B41" s="34" t="s">
        <v>37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>
      <c r="A42" s="35">
        <v>6.4</v>
      </c>
      <c r="B42" s="34" t="s">
        <v>38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>
      <c r="A43" s="35">
        <v>6.5</v>
      </c>
      <c r="B43" s="34" t="s">
        <v>39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>
      <c r="A44" s="35">
        <v>6.6</v>
      </c>
      <c r="B44" s="34" t="s">
        <v>40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>
      <c r="A45" s="25"/>
      <c r="B45" s="33" t="s">
        <v>41</v>
      </c>
      <c r="C45" s="48">
        <f>SUM(C10:C44)</f>
        <v>35500</v>
      </c>
      <c r="D45" s="48">
        <f t="shared" ref="D45:AH45" si="0">SUM(D10:D44)</f>
        <v>17000</v>
      </c>
      <c r="E45" s="48">
        <f t="shared" si="0"/>
        <v>20000</v>
      </c>
      <c r="F45" s="48">
        <f t="shared" si="0"/>
        <v>22000</v>
      </c>
      <c r="G45" s="48">
        <f>SUM(G10:G44)</f>
        <v>26000</v>
      </c>
      <c r="H45" s="48">
        <f t="shared" si="0"/>
        <v>26500</v>
      </c>
      <c r="I45" s="48">
        <f t="shared" si="0"/>
        <v>38000</v>
      </c>
      <c r="J45" s="48">
        <f t="shared" si="0"/>
        <v>42500</v>
      </c>
      <c r="K45" s="48">
        <f t="shared" si="0"/>
        <v>19000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>
      <c r="B46" s="49"/>
    </row>
    <row r="47" spans="1:62">
      <c r="C47" s="26" t="s">
        <v>42</v>
      </c>
    </row>
    <row r="48" spans="1:62">
      <c r="B48" s="49">
        <f>SUM(C48:H48)</f>
        <v>350000</v>
      </c>
      <c r="C48" s="49">
        <f>SUM(C10:C13,D14:D17)</f>
        <v>52500</v>
      </c>
      <c r="D48" s="49">
        <f>SUM(E19:E20,F21:F22)</f>
        <v>42000</v>
      </c>
      <c r="E48" s="49">
        <f>SUM(G24:G25,H26:H27)</f>
        <v>52500</v>
      </c>
      <c r="F48" s="49">
        <f>SUM(I29:I30,J31:J32)</f>
        <v>80500</v>
      </c>
      <c r="G48" s="49">
        <f>SUM(K34:K35,L36:L37)</f>
        <v>35000</v>
      </c>
      <c r="H48" s="49">
        <f>SUM(M39:M41,N42:N44)</f>
        <v>87500</v>
      </c>
    </row>
    <row r="49" spans="3:8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zoomScale="82" zoomScaleNormal="90" workbookViewId="0">
      <selection activeCell="F17" sqref="F17:G18"/>
    </sheetView>
  </sheetViews>
  <sheetFormatPr defaultColWidth="11.42578125" defaultRowHeight="14.85"/>
  <cols>
    <col min="2" max="2" width="3.28515625" customWidth="1"/>
    <col min="3" max="3" width="44.7109375" bestFit="1" customWidth="1"/>
    <col min="4" max="4" width="16.7109375" customWidth="1"/>
    <col min="5" max="5" width="16.140625" bestFit="1" customWidth="1"/>
    <col min="6" max="6" width="17.42578125" customWidth="1"/>
    <col min="7" max="8" width="14.7109375" bestFit="1" customWidth="1"/>
    <col min="9" max="9" width="14.42578125" bestFit="1" customWidth="1"/>
    <col min="10" max="10" width="16.42578125" bestFit="1" customWidth="1"/>
    <col min="11" max="11" width="14.42578125" bestFit="1" customWidth="1"/>
    <col min="12" max="12" width="16.42578125" bestFit="1" customWidth="1"/>
    <col min="13" max="14" width="15.42578125" bestFit="1" customWidth="1"/>
    <col min="15" max="15" width="16.7109375" customWidth="1"/>
    <col min="16" max="16" width="3.28515625" customWidth="1"/>
  </cols>
  <sheetData>
    <row r="1" spans="2:15" ht="15.6" thickBot="1"/>
    <row r="2" spans="2:15" ht="15.6" thickTop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>
      <c r="B3" s="5"/>
      <c r="O3" s="6"/>
    </row>
    <row r="4" spans="2:15">
      <c r="B4" s="5"/>
      <c r="O4" s="6"/>
    </row>
    <row r="5" spans="2:15">
      <c r="B5" s="5"/>
      <c r="O5" s="6"/>
    </row>
    <row r="6" spans="2:15">
      <c r="B6" s="5"/>
      <c r="O6" s="6"/>
    </row>
    <row r="7" spans="2:15" ht="21">
      <c r="B7" s="5"/>
      <c r="C7" s="52" t="s">
        <v>43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3"/>
    </row>
    <row r="8" spans="2:15">
      <c r="B8" s="5"/>
      <c r="O8" s="6"/>
    </row>
    <row r="9" spans="2:15">
      <c r="B9" s="5"/>
      <c r="C9" s="21" t="s">
        <v>44</v>
      </c>
      <c r="D9" s="18" t="s">
        <v>1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>
      <c r="B10" s="5"/>
      <c r="C10" s="21" t="s">
        <v>45</v>
      </c>
      <c r="D10" s="54" t="s">
        <v>2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</row>
    <row r="11" spans="2:15">
      <c r="B11" s="5"/>
      <c r="C11" s="21" t="s">
        <v>46</v>
      </c>
      <c r="D11" s="57" t="s">
        <v>47</v>
      </c>
      <c r="E11" s="58"/>
      <c r="F11" s="59" t="s">
        <v>48</v>
      </c>
      <c r="G11" s="60"/>
      <c r="H11" s="54" t="s">
        <v>49</v>
      </c>
      <c r="I11" s="55"/>
      <c r="J11" s="61"/>
      <c r="K11" s="59" t="s">
        <v>50</v>
      </c>
      <c r="L11" s="60"/>
      <c r="M11" s="57" t="s">
        <v>51</v>
      </c>
      <c r="N11" s="62"/>
      <c r="O11" s="63"/>
    </row>
    <row r="12" spans="2:15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>
      <c r="B13" s="5"/>
      <c r="C13" s="22"/>
      <c r="D13" s="50" t="s">
        <v>4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1"/>
    </row>
    <row r="14" spans="2:15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>
      <c r="B15" s="5"/>
      <c r="C15" s="21" t="s">
        <v>52</v>
      </c>
      <c r="D15" s="1">
        <f>'Detalle de Costos'!C45</f>
        <v>35500</v>
      </c>
      <c r="E15" s="1">
        <f>'Detalle de Costos'!D45</f>
        <v>17000</v>
      </c>
      <c r="F15" s="1">
        <f>'Detalle de Costos'!E45</f>
        <v>20000</v>
      </c>
      <c r="G15" s="1">
        <f>'Detalle de Costos'!F45</f>
        <v>22000</v>
      </c>
      <c r="H15" s="1">
        <f>'Detalle de Costos'!G45</f>
        <v>26000</v>
      </c>
      <c r="I15" s="1">
        <f>'Detalle de Costos'!H45</f>
        <v>26500</v>
      </c>
      <c r="J15" s="1">
        <f>'Detalle de Costos'!I45</f>
        <v>38000</v>
      </c>
      <c r="K15" s="1">
        <f>'Detalle de Costos'!J45</f>
        <v>42500</v>
      </c>
      <c r="L15" s="1">
        <f>'Detalle de Costos'!K45</f>
        <v>19000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>
      <c r="B16" s="5"/>
      <c r="C16" s="21" t="s">
        <v>53</v>
      </c>
      <c r="D16" s="17">
        <f>D15</f>
        <v>35500</v>
      </c>
      <c r="E16" s="1">
        <f>E15+D16</f>
        <v>52500</v>
      </c>
      <c r="F16" s="1">
        <f>F15+E16</f>
        <v>72500</v>
      </c>
      <c r="G16" s="1">
        <f t="shared" ref="G16:O16" si="0">G15+F16</f>
        <v>94500</v>
      </c>
      <c r="H16" s="1">
        <f t="shared" si="0"/>
        <v>120500</v>
      </c>
      <c r="I16" s="1">
        <f t="shared" si="0"/>
        <v>147000</v>
      </c>
      <c r="J16" s="1">
        <f t="shared" si="0"/>
        <v>185000</v>
      </c>
      <c r="K16" s="1">
        <f t="shared" si="0"/>
        <v>227500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>
      <c r="B17" s="5"/>
      <c r="C17" s="21" t="s">
        <v>54</v>
      </c>
      <c r="D17" s="1">
        <v>30000</v>
      </c>
      <c r="E17" s="1">
        <v>16000</v>
      </c>
      <c r="F17" s="1">
        <v>18500</v>
      </c>
      <c r="G17" s="1">
        <v>20100</v>
      </c>
      <c r="H17" s="1"/>
      <c r="I17" s="1"/>
      <c r="J17" s="1"/>
      <c r="K17" s="1"/>
      <c r="L17" s="1"/>
      <c r="M17" s="1"/>
      <c r="N17" s="1"/>
      <c r="O17" s="16"/>
    </row>
    <row r="18" spans="2:15">
      <c r="B18" s="5"/>
      <c r="C18" s="21" t="s">
        <v>55</v>
      </c>
      <c r="D18" s="1">
        <f>D17</f>
        <v>30000</v>
      </c>
      <c r="E18" s="1">
        <f>D18+E17</f>
        <v>46000</v>
      </c>
      <c r="F18" s="1">
        <f t="shared" ref="F18:G18" si="1">E18+F17</f>
        <v>64500</v>
      </c>
      <c r="G18" s="1">
        <f t="shared" si="1"/>
        <v>84600</v>
      </c>
      <c r="H18" s="1"/>
      <c r="I18" s="1"/>
      <c r="J18" s="1"/>
      <c r="K18" s="1"/>
      <c r="L18" s="1"/>
      <c r="M18" s="1"/>
      <c r="N18" s="1"/>
      <c r="O18" s="16"/>
    </row>
    <row r="19" spans="2:15">
      <c r="B19" s="5"/>
      <c r="O19" s="6"/>
    </row>
    <row r="20" spans="2:15">
      <c r="B20" s="5"/>
      <c r="O20" s="6"/>
    </row>
    <row r="21" spans="2:15">
      <c r="B21" s="5"/>
      <c r="C21" s="7"/>
      <c r="D21" s="13"/>
      <c r="E21" s="14"/>
      <c r="O21" s="6"/>
    </row>
    <row r="22" spans="2:15">
      <c r="B22" s="5"/>
      <c r="O22" s="6"/>
    </row>
    <row r="23" spans="2:15">
      <c r="B23" s="5"/>
      <c r="O23" s="6"/>
    </row>
    <row r="24" spans="2:15">
      <c r="B24" s="5"/>
      <c r="O24" s="6"/>
    </row>
    <row r="25" spans="2:15">
      <c r="B25" s="5"/>
      <c r="O25" s="6"/>
    </row>
    <row r="26" spans="2:15">
      <c r="B26" s="5"/>
      <c r="O26" s="6"/>
    </row>
    <row r="27" spans="2:15">
      <c r="B27" s="5"/>
      <c r="O27" s="6"/>
    </row>
    <row r="28" spans="2:15">
      <c r="B28" s="5"/>
      <c r="O28" s="6"/>
    </row>
    <row r="29" spans="2:15">
      <c r="B29" s="5"/>
      <c r="O29" s="6"/>
    </row>
    <row r="30" spans="2:15">
      <c r="B30" s="5"/>
      <c r="O30" s="6"/>
    </row>
    <row r="31" spans="2:15">
      <c r="B31" s="5"/>
      <c r="O31" s="6"/>
    </row>
    <row r="32" spans="2:15">
      <c r="B32" s="5"/>
      <c r="O32" s="6"/>
    </row>
    <row r="33" spans="2:15">
      <c r="B33" s="5"/>
      <c r="O33" s="6"/>
    </row>
    <row r="34" spans="2:15">
      <c r="B34" s="5"/>
      <c r="O34" s="6"/>
    </row>
    <row r="35" spans="2:15">
      <c r="B35" s="5"/>
      <c r="O35" s="6"/>
    </row>
    <row r="36" spans="2:15">
      <c r="B36" s="5"/>
      <c r="O36" s="6"/>
    </row>
    <row r="37" spans="2:15">
      <c r="B37" s="5"/>
      <c r="O37" s="6"/>
    </row>
    <row r="38" spans="2:15">
      <c r="B38" s="5"/>
      <c r="O38" s="6"/>
    </row>
    <row r="39" spans="2:15">
      <c r="B39" s="5"/>
      <c r="O39" s="6"/>
    </row>
    <row r="40" spans="2:15">
      <c r="B40" s="5"/>
      <c r="O40" s="6"/>
    </row>
    <row r="41" spans="2:15">
      <c r="B41" s="5"/>
      <c r="O41" s="6"/>
    </row>
    <row r="42" spans="2:15">
      <c r="B42" s="5"/>
      <c r="O42" s="6"/>
    </row>
    <row r="43" spans="2:15" ht="15.6" thickBot="1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.6" thickTop="1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3D39D4-46F6-4A2E-8B7D-531980FF93A2}"/>
</file>

<file path=customXml/itemProps2.xml><?xml version="1.0" encoding="utf-8"?>
<ds:datastoreItem xmlns:ds="http://schemas.openxmlformats.org/officeDocument/2006/customXml" ds:itemID="{DA30D0E3-C824-48E7-9C0D-A8FE674A756E}"/>
</file>

<file path=customXml/itemProps3.xml><?xml version="1.0" encoding="utf-8"?>
<ds:datastoreItem xmlns:ds="http://schemas.openxmlformats.org/officeDocument/2006/customXml" ds:itemID="{623773F6-FB2D-4D28-AA31-1083C8B6A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/>
  <cp:revision/>
  <dcterms:created xsi:type="dcterms:W3CDTF">2012-05-23T17:29:07Z</dcterms:created>
  <dcterms:modified xsi:type="dcterms:W3CDTF">2026-04-24T15:23:44Z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