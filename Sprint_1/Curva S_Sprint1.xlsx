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1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itculiacanedu-my.sharepoint.com/personal/l22170251_culiacan_tecnm_mx/Documents/"/>
    </mc:Choice>
  </mc:AlternateContent>
  <xr:revisionPtr revIDLastSave="0" documentId="8_{692CF55D-422D-4435-BCD8-4721EE00829B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Detalle de Costos" sheetId="11" r:id="rId1"/>
    <sheet name="Plantilla Curva S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4" l="1"/>
  <c r="C48" i="11"/>
  <c r="C45" i="11"/>
  <c r="B48" i="11"/>
  <c r="H48" i="11"/>
  <c r="G48" i="11"/>
  <c r="F48" i="11"/>
  <c r="E48" i="11"/>
  <c r="D48" i="11"/>
  <c r="G45" i="11"/>
  <c r="BE45" i="11"/>
  <c r="BF45" i="11"/>
  <c r="BG45" i="11"/>
  <c r="BH45" i="11"/>
  <c r="BI45" i="11"/>
  <c r="BJ45" i="11"/>
  <c r="AD45" i="11"/>
  <c r="AE45" i="11"/>
  <c r="AF45" i="11"/>
  <c r="AG45" i="11"/>
  <c r="AH45" i="11"/>
  <c r="AI45" i="11"/>
  <c r="AJ45" i="11"/>
  <c r="AK45" i="11"/>
  <c r="AL45" i="11"/>
  <c r="AM45" i="11"/>
  <c r="AN45" i="11"/>
  <c r="AO45" i="11"/>
  <c r="AP45" i="11"/>
  <c r="AQ45" i="11"/>
  <c r="AR45" i="11"/>
  <c r="AS45" i="11"/>
  <c r="AT45" i="11"/>
  <c r="AU45" i="11"/>
  <c r="AV45" i="11"/>
  <c r="AW45" i="11"/>
  <c r="AX45" i="11"/>
  <c r="AY45" i="11"/>
  <c r="AZ45" i="11"/>
  <c r="BA45" i="11"/>
  <c r="BB45" i="11"/>
  <c r="BC45" i="11"/>
  <c r="BD45" i="11"/>
  <c r="H45" i="11"/>
  <c r="I15" i="4" s="1"/>
  <c r="I45" i="11"/>
  <c r="J15" i="4" s="1"/>
  <c r="J45" i="11"/>
  <c r="K15" i="4" s="1"/>
  <c r="K45" i="11"/>
  <c r="L15" i="4" s="1"/>
  <c r="L45" i="11"/>
  <c r="M15" i="4" s="1"/>
  <c r="M45" i="11"/>
  <c r="N15" i="4" s="1"/>
  <c r="N45" i="11"/>
  <c r="O15" i="4" s="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D45" i="11"/>
  <c r="E15" i="4" s="1"/>
  <c r="E45" i="11"/>
  <c r="F15" i="4" s="1"/>
  <c r="F45" i="11"/>
  <c r="G15" i="4" s="1"/>
  <c r="H15" i="4" l="1"/>
  <c r="D15" i="4"/>
  <c r="D16" i="4" s="1"/>
  <c r="E16" i="4" l="1"/>
  <c r="F16" i="4" s="1"/>
  <c r="G16" i="4" s="1"/>
  <c r="H16" i="4" s="1"/>
  <c r="I16" i="4" s="1"/>
  <c r="J16" i="4" s="1"/>
  <c r="K16" i="4" s="1"/>
  <c r="L16" i="4" s="1"/>
  <c r="M16" i="4" s="1"/>
  <c r="N16" i="4" s="1"/>
  <c r="O16" i="4" s="1"/>
</calcChain>
</file>

<file path=xl/sharedStrings.xml><?xml version="1.0" encoding="utf-8"?>
<sst xmlns="http://schemas.openxmlformats.org/spreadsheetml/2006/main" count="59" uniqueCount="56">
  <si>
    <t>Costos por paquete de trabajo</t>
  </si>
  <si>
    <t xml:space="preserve">Planificació de estartegias de identificación y retención de clientes para generación de marketing </t>
  </si>
  <si>
    <t>LTV_str</t>
  </si>
  <si>
    <t>Paquete de Trabajo</t>
  </si>
  <si>
    <t>Semanas</t>
  </si>
  <si>
    <t>Inicio y comprensión del proyecto</t>
  </si>
  <si>
    <t xml:space="preserve">Definición del problema de negocio y objetivos del CLV </t>
  </si>
  <si>
    <t>Identificación de KPIs y decisiones de negocio</t>
  </si>
  <si>
    <t>Descarga y revisión del Dataset Online Retail</t>
  </si>
  <si>
    <t>Análisis exploratorio inicial del dataset (EDA)</t>
  </si>
  <si>
    <t xml:space="preserve">Identificación de valores nulo y datos inválidos </t>
  </si>
  <si>
    <t>Limpieza de transacciones (devoluciones, precios negativos)</t>
  </si>
  <si>
    <t>Creación de variable Revenue</t>
  </si>
  <si>
    <t>Validacion final del dataset limpio</t>
  </si>
  <si>
    <t>Análisis RFM</t>
  </si>
  <si>
    <t>Definición de fecha de referencia para RFM</t>
  </si>
  <si>
    <t xml:space="preserve">Cálculo de métricas Recency, Frequency y Monetary </t>
  </si>
  <si>
    <t>Normalización y análisis estadístico RFM</t>
  </si>
  <si>
    <t>Segmentación de clientes RFM</t>
  </si>
  <si>
    <t>Feature Engineering y preparación para CLV</t>
  </si>
  <si>
    <t xml:space="preserve">Definición de ventana temporal de observación y predicción </t>
  </si>
  <si>
    <t>Creación de variables adicionales</t>
  </si>
  <si>
    <t>Preparación del dataset para modelos CLV</t>
  </si>
  <si>
    <t>Separación de datos (train/validación)</t>
  </si>
  <si>
    <t xml:space="preserve">Modelado del Customer Lifetime Value </t>
  </si>
  <si>
    <t>Implementación del modelo BG/NBD</t>
  </si>
  <si>
    <t>Implementación del modelo Gamma-Gamma</t>
  </si>
  <si>
    <t>Entrenamiento y ajuste de modelos CLV</t>
  </si>
  <si>
    <t>Evaluación y validación del modelo CLV</t>
  </si>
  <si>
    <t>Segmentación basada en CLV</t>
  </si>
  <si>
    <t>Predicción de CLV por cliente</t>
  </si>
  <si>
    <t>Segmentación de clientes por niveles de CLV</t>
  </si>
  <si>
    <t>Cruce de segmentación CLV + RFM</t>
  </si>
  <si>
    <t xml:space="preserve">Identificaci+ón swl 20% de clientes de mayor valor </t>
  </si>
  <si>
    <t>Estrategias de marketing y ROI</t>
  </si>
  <si>
    <t>Definición de estrategias por segmento de clientes</t>
  </si>
  <si>
    <t xml:space="preserve">Asignación de presupuesto de marketing por segmento </t>
  </si>
  <si>
    <t xml:space="preserve">Simulación de impacto y ROI de las estrategias </t>
  </si>
  <si>
    <t>Elaboración de visualizaciones y dashboards finales</t>
  </si>
  <si>
    <t xml:space="preserve">Preparación del reporte y presentación ejecutiva </t>
  </si>
  <si>
    <t xml:space="preserve">Documentación técnica y cierre del proyecto </t>
  </si>
  <si>
    <t>TOTAL</t>
  </si>
  <si>
    <t>Costos por fases</t>
  </si>
  <si>
    <t>Curva S de Recursos</t>
  </si>
  <si>
    <t>Proyecto:</t>
  </si>
  <si>
    <t>ID:</t>
  </si>
  <si>
    <t>Fecha de Inicio</t>
  </si>
  <si>
    <t>16 de febrero de 2026</t>
  </si>
  <si>
    <t>Fecha Fin:</t>
  </si>
  <si>
    <t>27 de febrero de 2026</t>
  </si>
  <si>
    <t>Fecha de Corte:</t>
  </si>
  <si>
    <t>25 de febrero de 2026</t>
  </si>
  <si>
    <t>Valor Planificado</t>
  </si>
  <si>
    <t>Valor Planificado Acumulado</t>
  </si>
  <si>
    <t>Costo Real</t>
  </si>
  <si>
    <t>Costo Real Acumulado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</si>
</sst>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5" formatCode="_(* #,##0.00_);_(* \(#,##0.00\);_(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1"/>
      <name val="Corbel"/>
      <family val="2"/>
    </font>
    <font>
      <b/>
      <sz val="16"/>
      <color theme="1"/>
      <name val="Corbel"/>
      <family val="2"/>
    </font>
    <font>
      <b/>
      <sz val="12"/>
      <color theme="0"/>
      <name val="Corbel"/>
      <family val="2"/>
    </font>
    <font>
      <sz val="11"/>
      <color theme="0"/>
      <name val="Corbel"/>
      <family val="2"/>
    </font>
    <font>
      <b/>
      <sz val="11"/>
      <color theme="0"/>
      <name val="Corbel"/>
      <family val="2"/>
    </font>
    <font>
      <b/>
      <sz val="10"/>
      <color theme="0"/>
      <name val="Corbel"/>
      <family val="2"/>
    </font>
    <font>
      <sz val="10"/>
      <color theme="1"/>
      <name val="Corbel"/>
      <family val="2"/>
    </font>
    <font>
      <sz val="8"/>
      <name val="Calibri"/>
      <family val="2"/>
      <scheme val="minor"/>
    </font>
    <font>
      <b/>
      <sz val="11"/>
      <color theme="1"/>
      <name val="Corbel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376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73">
    <xf numFmtId="0" fontId="0" fillId="0" borderId="0" xfId="0"/>
    <xf numFmtId="164" fontId="0" fillId="0" borderId="1" xfId="1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Alignment="1">
      <alignment vertical="center"/>
    </xf>
    <xf numFmtId="9" fontId="0" fillId="0" borderId="0" xfId="2" applyFont="1" applyBorder="1" applyAlignment="1">
      <alignment vertical="center"/>
    </xf>
    <xf numFmtId="0" fontId="0" fillId="0" borderId="9" xfId="0" applyBorder="1" applyAlignment="1">
      <alignment horizontal="left"/>
    </xf>
    <xf numFmtId="164" fontId="0" fillId="0" borderId="13" xfId="1" applyFont="1" applyBorder="1"/>
    <xf numFmtId="164" fontId="0" fillId="0" borderId="1" xfId="1" applyFont="1" applyBorder="1" applyAlignment="1"/>
    <xf numFmtId="0" fontId="0" fillId="0" borderId="2" xfId="0" applyBorder="1"/>
    <xf numFmtId="0" fontId="0" fillId="0" borderId="3" xfId="0" applyBorder="1"/>
    <xf numFmtId="0" fontId="0" fillId="0" borderId="14" xfId="0" applyBorder="1"/>
    <xf numFmtId="0" fontId="2" fillId="3" borderId="1" xfId="0" applyFont="1" applyFill="1" applyBorder="1" applyAlignment="1">
      <alignment horizontal="right"/>
    </xf>
    <xf numFmtId="0" fontId="0" fillId="3" borderId="1" xfId="0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0" fillId="4" borderId="0" xfId="0" applyFill="1"/>
    <xf numFmtId="0" fontId="4" fillId="4" borderId="0" xfId="0" applyFont="1" applyFill="1" applyProtection="1">
      <protection locked="0"/>
    </xf>
    <xf numFmtId="0" fontId="5" fillId="4" borderId="0" xfId="0" applyFont="1" applyFill="1" applyProtection="1">
      <protection locked="0"/>
    </xf>
    <xf numFmtId="14" fontId="7" fillId="5" borderId="0" xfId="0" applyNumberFormat="1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top"/>
      <protection locked="0"/>
    </xf>
    <xf numFmtId="0" fontId="10" fillId="0" borderId="16" xfId="0" applyFont="1" applyBorder="1" applyAlignment="1" applyProtection="1">
      <alignment horizontal="left" vertical="center"/>
      <protection locked="0"/>
    </xf>
    <xf numFmtId="0" fontId="8" fillId="5" borderId="15" xfId="0" applyFont="1" applyFill="1" applyBorder="1" applyAlignment="1" applyProtection="1">
      <alignment horizontal="center" vertical="top"/>
      <protection locked="0"/>
    </xf>
    <xf numFmtId="0" fontId="9" fillId="5" borderId="16" xfId="3" applyNumberFormat="1" applyFont="1" applyFill="1" applyBorder="1" applyAlignment="1" applyProtection="1">
      <alignment horizontal="center" vertical="top"/>
      <protection locked="0"/>
    </xf>
    <xf numFmtId="0" fontId="12" fillId="6" borderId="0" xfId="0" applyFont="1" applyFill="1" applyAlignment="1" applyProtection="1">
      <alignment horizontal="center"/>
      <protection locked="0"/>
    </xf>
    <xf numFmtId="0" fontId="0" fillId="0" borderId="1" xfId="0" applyBorder="1"/>
    <xf numFmtId="0" fontId="10" fillId="0" borderId="1" xfId="0" applyFont="1" applyBorder="1" applyAlignment="1" applyProtection="1">
      <alignment horizontal="left" vertical="center"/>
      <protection locked="0"/>
    </xf>
    <xf numFmtId="164" fontId="10" fillId="0" borderId="16" xfId="1" applyFont="1" applyBorder="1" applyAlignment="1" applyProtection="1">
      <alignment horizontal="center" vertical="top"/>
      <protection locked="0"/>
    </xf>
    <xf numFmtId="164" fontId="10" fillId="0" borderId="16" xfId="1" applyFont="1" applyBorder="1" applyAlignment="1" applyProtection="1">
      <alignment horizontal="center" vertical="top" wrapText="1"/>
      <protection locked="0"/>
    </xf>
    <xf numFmtId="164" fontId="10" fillId="0" borderId="16" xfId="1" applyFont="1" applyBorder="1" applyAlignment="1" applyProtection="1">
      <alignment vertical="top"/>
      <protection locked="0"/>
    </xf>
    <xf numFmtId="164" fontId="4" fillId="4" borderId="0" xfId="1" applyFont="1" applyFill="1" applyProtection="1">
      <protection locked="0"/>
    </xf>
    <xf numFmtId="164" fontId="9" fillId="5" borderId="16" xfId="1" applyFont="1" applyFill="1" applyBorder="1" applyAlignment="1" applyProtection="1">
      <alignment vertical="top"/>
      <protection locked="0"/>
    </xf>
    <xf numFmtId="164" fontId="9" fillId="5" borderId="16" xfId="1" applyFont="1" applyFill="1" applyBorder="1" applyAlignment="1" applyProtection="1">
      <alignment horizontal="right" vertical="top"/>
      <protection locked="0"/>
    </xf>
    <xf numFmtId="164" fontId="9" fillId="5" borderId="19" xfId="1" applyFont="1" applyFill="1" applyBorder="1" applyAlignment="1" applyProtection="1">
      <alignment vertical="top"/>
      <protection locked="0"/>
    </xf>
    <xf numFmtId="164" fontId="9" fillId="5" borderId="19" xfId="1" applyFont="1" applyFill="1" applyBorder="1" applyAlignment="1" applyProtection="1">
      <alignment horizontal="right" vertical="top"/>
      <protection locked="0"/>
    </xf>
    <xf numFmtId="164" fontId="10" fillId="0" borderId="1" xfId="1" applyFont="1" applyBorder="1" applyAlignment="1" applyProtection="1">
      <alignment horizontal="center" vertical="top"/>
      <protection locked="0"/>
    </xf>
    <xf numFmtId="164" fontId="10" fillId="0" borderId="1" xfId="1" applyFont="1" applyBorder="1" applyAlignment="1" applyProtection="1">
      <alignment horizontal="center" vertical="top" wrapText="1"/>
      <protection locked="0"/>
    </xf>
    <xf numFmtId="164" fontId="10" fillId="0" borderId="1" xfId="1" applyFont="1" applyBorder="1" applyAlignment="1" applyProtection="1">
      <alignment vertical="top"/>
      <protection locked="0"/>
    </xf>
    <xf numFmtId="164" fontId="4" fillId="4" borderId="1" xfId="1" applyFont="1" applyFill="1" applyBorder="1" applyProtection="1">
      <protection locked="0"/>
    </xf>
    <xf numFmtId="164" fontId="4" fillId="6" borderId="24" xfId="1" applyFont="1" applyFill="1" applyBorder="1" applyProtection="1">
      <protection locked="0"/>
    </xf>
    <xf numFmtId="164" fontId="4" fillId="4" borderId="0" xfId="0" applyNumberFormat="1" applyFont="1" applyFill="1" applyProtection="1">
      <protection locked="0"/>
    </xf>
    <xf numFmtId="0" fontId="2" fillId="3" borderId="1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4" xfId="0" applyBorder="1" applyAlignment="1">
      <alignment horizontal="left"/>
    </xf>
    <xf numFmtId="14" fontId="0" fillId="0" borderId="2" xfId="0" applyNumberFormat="1" applyBorder="1" applyAlignment="1">
      <alignment horizontal="left"/>
    </xf>
    <xf numFmtId="14" fontId="0" fillId="0" borderId="4" xfId="0" applyNumberFormat="1" applyBorder="1" applyAlignment="1">
      <alignment horizontal="left"/>
    </xf>
    <xf numFmtId="0" fontId="2" fillId="3" borderId="2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0" fontId="0" fillId="0" borderId="4" xfId="0" applyBorder="1" applyAlignment="1">
      <alignment horizontal="left"/>
    </xf>
    <xf numFmtId="14" fontId="0" fillId="0" borderId="3" xfId="0" applyNumberFormat="1" applyBorder="1" applyAlignment="1">
      <alignment horizontal="left"/>
    </xf>
    <xf numFmtId="14" fontId="0" fillId="0" borderId="14" xfId="0" applyNumberFormat="1" applyBorder="1" applyAlignment="1">
      <alignment horizontal="left"/>
    </xf>
    <xf numFmtId="0" fontId="6" fillId="5" borderId="0" xfId="0" applyFont="1" applyFill="1" applyAlignment="1" applyProtection="1">
      <alignment horizontal="center" vertical="center" wrapText="1"/>
      <protection locked="0"/>
    </xf>
    <xf numFmtId="0" fontId="9" fillId="5" borderId="17" xfId="0" applyFont="1" applyFill="1" applyBorder="1" applyAlignment="1" applyProtection="1">
      <alignment horizontal="center" vertical="center"/>
      <protection locked="0"/>
    </xf>
    <xf numFmtId="0" fontId="9" fillId="5" borderId="18" xfId="0" applyFont="1" applyFill="1" applyBorder="1" applyAlignment="1" applyProtection="1">
      <alignment horizontal="center" vertical="center"/>
      <protection locked="0"/>
    </xf>
    <xf numFmtId="0" fontId="9" fillId="5" borderId="22" xfId="0" applyFont="1" applyFill="1" applyBorder="1" applyAlignment="1" applyProtection="1">
      <alignment horizontal="center" vertical="center"/>
      <protection locked="0"/>
    </xf>
    <xf numFmtId="0" fontId="9" fillId="5" borderId="23" xfId="0" applyFont="1" applyFill="1" applyBorder="1" applyAlignment="1" applyProtection="1">
      <alignment horizontal="center" vertical="center"/>
      <protection locked="0"/>
    </xf>
    <xf numFmtId="0" fontId="9" fillId="5" borderId="17" xfId="0" applyFont="1" applyFill="1" applyBorder="1" applyAlignment="1" applyProtection="1">
      <alignment horizontal="right" vertical="center"/>
      <protection locked="0"/>
    </xf>
    <xf numFmtId="0" fontId="9" fillId="5" borderId="18" xfId="0" applyFont="1" applyFill="1" applyBorder="1" applyAlignment="1" applyProtection="1">
      <alignment horizontal="right" vertical="center"/>
      <protection locked="0"/>
    </xf>
    <xf numFmtId="0" fontId="9" fillId="5" borderId="20" xfId="0" applyFont="1" applyFill="1" applyBorder="1" applyAlignment="1" applyProtection="1">
      <alignment horizontal="center" vertical="center"/>
      <protection locked="0"/>
    </xf>
    <xf numFmtId="0" fontId="9" fillId="5" borderId="21" xfId="0" applyFont="1" applyFill="1" applyBorder="1" applyAlignment="1" applyProtection="1">
      <alignment horizontal="center" vertical="center"/>
      <protection locked="0"/>
    </xf>
  </cellXfs>
  <cellStyles count="4">
    <cellStyle name="Millares" xfId="3" builtinId="3"/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0037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569208778480151E-2"/>
          <c:y val="1.706998513297726E-2"/>
          <c:w val="0.70602619742954664"/>
          <c:h val="0.89886944551511483"/>
        </c:manualLayout>
      </c:layout>
      <c:lineChart>
        <c:grouping val="standard"/>
        <c:varyColors val="0"/>
        <c:ser>
          <c:idx val="1"/>
          <c:order val="0"/>
          <c:tx>
            <c:strRef>
              <c:f>'Plantilla Curva S'!$C$16</c:f>
              <c:strCache>
                <c:ptCount val="1"/>
                <c:pt idx="0">
                  <c:v>Valor Planificado Acumulado</c:v>
                </c:pt>
              </c:strCache>
            </c:strRef>
          </c:tx>
          <c:marker>
            <c:symbol val="none"/>
          </c:marker>
          <c:cat>
            <c:numRef>
              <c:f>'Plantilla Curva S'!$D$14:$O$14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'Plantilla Curva S'!$D$16:$O$16</c:f>
              <c:numCache>
                <c:formatCode>_-"$"* #,##0.00_-;\-"$"* #,##0.00_-;_-"$"* "-"??_-;_-@_-</c:formatCode>
                <c:ptCount val="12"/>
                <c:pt idx="0">
                  <c:v>23500</c:v>
                </c:pt>
                <c:pt idx="1">
                  <c:v>41500</c:v>
                </c:pt>
                <c:pt idx="2">
                  <c:v>50000</c:v>
                </c:pt>
                <c:pt idx="3">
                  <c:v>52500</c:v>
                </c:pt>
                <c:pt idx="4">
                  <c:v>72500</c:v>
                </c:pt>
                <c:pt idx="5">
                  <c:v>94500</c:v>
                </c:pt>
                <c:pt idx="6">
                  <c:v>120500</c:v>
                </c:pt>
                <c:pt idx="7">
                  <c:v>185000</c:v>
                </c:pt>
                <c:pt idx="8">
                  <c:v>246500</c:v>
                </c:pt>
                <c:pt idx="9">
                  <c:v>262500</c:v>
                </c:pt>
                <c:pt idx="10">
                  <c:v>315500</c:v>
                </c:pt>
                <c:pt idx="11">
                  <c:v>350000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6E-4092-A810-F1B32C16C439}"/>
            </c:ext>
          </c:extLst>
        </c:ser>
        <c:ser>
          <c:idx val="3"/>
          <c:order val="1"/>
          <c:tx>
            <c:strRef>
              <c:f>'Plantilla Curva S'!$C$18</c:f>
              <c:strCache>
                <c:ptCount val="1"/>
                <c:pt idx="0">
                  <c:v>Costo Real Acumulado</c:v>
                </c:pt>
              </c:strCache>
            </c:strRef>
          </c:tx>
          <c:marker>
            <c:symbol val="none"/>
          </c:marker>
          <c:cat>
            <c:numRef>
              <c:f>'Plantilla Curva S'!$D$14:$O$14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'Plantilla Curva S'!$D$18:$O$18</c:f>
              <c:numCache>
                <c:formatCode>_-"$"* #,##0.00_-;\-"$"* #,##0.00_-;_-"$"* "-"??_-;_-@_-</c:formatCode>
                <c:ptCount val="12"/>
                <c:pt idx="0">
                  <c:v>23000</c:v>
                </c:pt>
                <c:pt idx="1">
                  <c:v>39000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6E-4092-A810-F1B32C16C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171456"/>
        <c:axId val="193172992"/>
      </c:lineChart>
      <c:catAx>
        <c:axId val="1931714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3172992"/>
        <c:crosses val="autoZero"/>
        <c:auto val="1"/>
        <c:lblAlgn val="ctr"/>
        <c:lblOffset val="100"/>
        <c:noMultiLvlLbl val="0"/>
      </c:catAx>
      <c:valAx>
        <c:axId val="193172992"/>
        <c:scaling>
          <c:orientation val="minMax"/>
        </c:scaling>
        <c:delete val="0"/>
        <c:axPos val="l"/>
        <c:majorGridlines/>
        <c:numFmt formatCode="_-&quot;$&quot;* #,##0.00_-;\-&quot;$&quot;* #,##0.00_-;_-&quot;$&quot;* &quot;-&quot;??_-;_-@_-" sourceLinked="1"/>
        <c:majorTickMark val="out"/>
        <c:minorTickMark val="none"/>
        <c:tickLblPos val="nextTo"/>
        <c:crossAx val="1931714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388621</xdr:colOff>
      <xdr:row>0</xdr:row>
      <xdr:rowOff>0</xdr:rowOff>
    </xdr:from>
    <xdr:to>
      <xdr:col>1</xdr:col>
      <xdr:colOff>723901</xdr:colOff>
      <xdr:row>4</xdr:row>
      <xdr:rowOff>88027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8621" y="0"/>
          <a:ext cx="876300" cy="9033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746125</xdr:colOff>
      <xdr:row>18</xdr:row>
      <xdr:rowOff>142875</xdr:rowOff>
    </xdr:from>
    <xdr:to>
      <xdr:col>12</xdr:col>
      <xdr:colOff>206375</xdr:colOff>
      <xdr:row>42</xdr:row>
      <xdr:rowOff>111125</xdr:rowOff>
    </xdr:to>
    <xdr:graphicFrame macro="">
      <xdr:nvGraphicFramePr>
        <xdr:cNvPr id="4" name="3 Gráfic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304802</xdr:colOff>
      <xdr:row>1</xdr:row>
      <xdr:rowOff>67734</xdr:rowOff>
    </xdr:from>
    <xdr:to>
      <xdr:col>2</xdr:col>
      <xdr:colOff>1134533</xdr:colOff>
      <xdr:row>5</xdr:row>
      <xdr:rowOff>161013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0802" y="262467"/>
          <a:ext cx="829731" cy="8468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6F9A9-FCEB-47B1-AE78-CF1A36A7E64B}">
  <dimension ref="A3:BJ49"/>
  <sheetViews>
    <sheetView topLeftCell="A26" zoomScaleNormal="100" workbookViewId="0">
      <pane xSplit="7" topLeftCell="H1" activePane="topRight" state="frozen"/>
      <selection pane="topRight" activeCell="D1" sqref="D1"/>
    </sheetView>
  </sheetViews>
  <sheetFormatPr defaultColWidth="11.42578125" defaultRowHeight="14.45"/>
  <cols>
    <col min="1" max="1" width="7.7109375" style="25" bestFit="1" customWidth="1"/>
    <col min="2" max="2" width="49" style="26" bestFit="1" customWidth="1"/>
    <col min="3" max="3" width="12" style="26" customWidth="1"/>
    <col min="4" max="4" width="11.85546875" style="26" customWidth="1"/>
    <col min="5" max="5" width="11.42578125" style="26" customWidth="1"/>
    <col min="6" max="6" width="12" style="26" customWidth="1"/>
    <col min="7" max="7" width="11.28515625" style="26" customWidth="1"/>
    <col min="8" max="9" width="11.7109375" style="26" customWidth="1"/>
    <col min="10" max="11" width="11.28515625" style="26" customWidth="1"/>
    <col min="12" max="12" width="11.7109375" style="26" customWidth="1"/>
    <col min="13" max="13" width="11.42578125" style="26" customWidth="1"/>
    <col min="14" max="14" width="12.85546875" style="26" customWidth="1"/>
    <col min="15" max="62" width="10.42578125" style="26" customWidth="1"/>
    <col min="63" max="16384" width="11.42578125" style="26"/>
  </cols>
  <sheetData>
    <row r="3" spans="1:62" ht="21">
      <c r="D3" s="27" t="s">
        <v>0</v>
      </c>
    </row>
    <row r="6" spans="1:62" ht="15.6" customHeight="1">
      <c r="A6" s="64" t="s">
        <v>1</v>
      </c>
      <c r="B6" s="64"/>
      <c r="C6" s="64"/>
      <c r="D6" s="64"/>
      <c r="E6" s="64"/>
      <c r="F6" s="64"/>
      <c r="G6" s="64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</row>
    <row r="7" spans="1:62">
      <c r="A7" s="31" t="s">
        <v>2</v>
      </c>
      <c r="B7" s="31" t="s">
        <v>3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</row>
    <row r="8" spans="1:62">
      <c r="A8" s="69" t="s">
        <v>4</v>
      </c>
      <c r="B8" s="70"/>
      <c r="C8" s="32">
        <v>1</v>
      </c>
      <c r="D8" s="32">
        <v>2</v>
      </c>
      <c r="E8" s="32">
        <v>3</v>
      </c>
      <c r="F8" s="32">
        <v>4</v>
      </c>
      <c r="G8" s="32">
        <v>5</v>
      </c>
      <c r="H8" s="32">
        <v>6</v>
      </c>
      <c r="I8" s="32">
        <v>7</v>
      </c>
      <c r="J8" s="32">
        <v>8</v>
      </c>
      <c r="K8" s="32">
        <v>9</v>
      </c>
      <c r="L8" s="32">
        <v>10</v>
      </c>
      <c r="M8" s="32">
        <v>11</v>
      </c>
      <c r="N8" s="32">
        <v>12</v>
      </c>
      <c r="O8" s="32">
        <v>13</v>
      </c>
      <c r="P8" s="32">
        <v>14</v>
      </c>
      <c r="Q8" s="32">
        <v>15</v>
      </c>
      <c r="R8" s="32">
        <v>16</v>
      </c>
      <c r="S8" s="32">
        <v>17</v>
      </c>
      <c r="T8" s="32">
        <v>18</v>
      </c>
      <c r="U8" s="32">
        <v>19</v>
      </c>
      <c r="V8" s="32">
        <v>20</v>
      </c>
      <c r="W8" s="32">
        <v>21</v>
      </c>
      <c r="X8" s="32">
        <v>22</v>
      </c>
      <c r="Y8" s="32">
        <v>23</v>
      </c>
      <c r="Z8" s="32">
        <v>24</v>
      </c>
      <c r="AA8" s="32">
        <v>25</v>
      </c>
      <c r="AB8" s="32">
        <v>26</v>
      </c>
      <c r="AC8" s="32">
        <v>27</v>
      </c>
      <c r="AD8" s="32">
        <v>28</v>
      </c>
      <c r="AE8" s="32">
        <v>29</v>
      </c>
      <c r="AF8" s="32">
        <v>30</v>
      </c>
      <c r="AG8" s="32">
        <v>31</v>
      </c>
      <c r="AH8" s="32">
        <v>32</v>
      </c>
      <c r="AI8" s="32">
        <v>33</v>
      </c>
      <c r="AJ8" s="32">
        <v>34</v>
      </c>
      <c r="AK8" s="32">
        <v>35</v>
      </c>
      <c r="AL8" s="32">
        <v>36</v>
      </c>
      <c r="AM8" s="32">
        <v>37</v>
      </c>
      <c r="AN8" s="32">
        <v>38</v>
      </c>
      <c r="AO8" s="32">
        <v>39</v>
      </c>
      <c r="AP8" s="32">
        <v>40</v>
      </c>
      <c r="AQ8" s="32">
        <v>41</v>
      </c>
      <c r="AR8" s="32">
        <v>42</v>
      </c>
      <c r="AS8" s="32">
        <v>43</v>
      </c>
      <c r="AT8" s="32">
        <v>44</v>
      </c>
      <c r="AU8" s="32">
        <v>45</v>
      </c>
      <c r="AV8" s="32">
        <v>46</v>
      </c>
      <c r="AW8" s="32">
        <v>47</v>
      </c>
      <c r="AX8" s="32">
        <v>48</v>
      </c>
      <c r="AY8" s="32">
        <v>49</v>
      </c>
      <c r="AZ8" s="32">
        <v>50</v>
      </c>
      <c r="BA8" s="32">
        <v>51</v>
      </c>
      <c r="BB8" s="32">
        <v>52</v>
      </c>
      <c r="BC8" s="32">
        <v>53</v>
      </c>
      <c r="BD8" s="32">
        <v>54</v>
      </c>
      <c r="BE8" s="32">
        <v>55</v>
      </c>
      <c r="BF8" s="32">
        <v>56</v>
      </c>
      <c r="BG8" s="32">
        <v>57</v>
      </c>
      <c r="BH8" s="32">
        <v>58</v>
      </c>
      <c r="BI8" s="32">
        <v>59</v>
      </c>
      <c r="BJ8" s="32">
        <v>60</v>
      </c>
    </row>
    <row r="9" spans="1:62">
      <c r="A9" s="65" t="s">
        <v>5</v>
      </c>
      <c r="B9" s="66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</row>
    <row r="10" spans="1:62" s="39" customFormat="1">
      <c r="A10" s="30">
        <v>1.1000000000000001</v>
      </c>
      <c r="B10" s="34" t="s">
        <v>6</v>
      </c>
      <c r="C10" s="36">
        <v>10000</v>
      </c>
      <c r="D10" s="37"/>
      <c r="E10" s="36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</row>
    <row r="11" spans="1:62" s="39" customFormat="1">
      <c r="A11" s="30">
        <v>1.2</v>
      </c>
      <c r="B11" s="34" t="s">
        <v>7</v>
      </c>
      <c r="C11" s="36">
        <v>7500</v>
      </c>
      <c r="D11" s="37"/>
      <c r="E11" s="36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</row>
    <row r="12" spans="1:62" s="39" customFormat="1">
      <c r="A12" s="30">
        <v>1.3</v>
      </c>
      <c r="B12" s="34" t="s">
        <v>8</v>
      </c>
      <c r="C12" s="36">
        <v>6000</v>
      </c>
      <c r="D12" s="37"/>
      <c r="E12" s="36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</row>
    <row r="13" spans="1:62" s="39" customFormat="1">
      <c r="A13" s="30">
        <v>1.4</v>
      </c>
      <c r="B13" s="34" t="s">
        <v>9</v>
      </c>
      <c r="C13" s="36"/>
      <c r="D13" s="37">
        <v>12000</v>
      </c>
      <c r="E13" s="36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</row>
    <row r="14" spans="1:62" s="39" customFormat="1">
      <c r="A14" s="30">
        <v>1.5</v>
      </c>
      <c r="B14" s="34" t="s">
        <v>10</v>
      </c>
      <c r="C14" s="36"/>
      <c r="D14" s="37">
        <v>6000</v>
      </c>
      <c r="E14" s="36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</row>
    <row r="15" spans="1:62" s="39" customFormat="1">
      <c r="A15" s="30">
        <v>1.6</v>
      </c>
      <c r="B15" s="34" t="s">
        <v>11</v>
      </c>
      <c r="C15" s="36"/>
      <c r="D15" s="37"/>
      <c r="E15" s="36">
        <v>6000</v>
      </c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</row>
    <row r="16" spans="1:62" s="39" customFormat="1">
      <c r="A16" s="30">
        <v>1.7</v>
      </c>
      <c r="B16" s="34" t="s">
        <v>12</v>
      </c>
      <c r="C16" s="36"/>
      <c r="D16" s="37"/>
      <c r="E16" s="36">
        <v>2500</v>
      </c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</row>
    <row r="17" spans="1:62" s="39" customFormat="1">
      <c r="A17" s="30">
        <v>1.8</v>
      </c>
      <c r="B17" s="34" t="s">
        <v>13</v>
      </c>
      <c r="C17" s="36"/>
      <c r="D17" s="37"/>
      <c r="E17" s="36"/>
      <c r="F17" s="38">
        <v>2500</v>
      </c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</row>
    <row r="18" spans="1:62" s="39" customFormat="1">
      <c r="A18" s="71" t="s">
        <v>14</v>
      </c>
      <c r="B18" s="72"/>
      <c r="C18" s="40"/>
      <c r="D18" s="41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</row>
    <row r="19" spans="1:62" s="39" customFormat="1">
      <c r="A19" s="30">
        <v>2.1</v>
      </c>
      <c r="B19" s="34" t="s">
        <v>15</v>
      </c>
      <c r="C19" s="36"/>
      <c r="D19" s="37"/>
      <c r="E19" s="36"/>
      <c r="F19" s="38"/>
      <c r="G19" s="38">
        <v>5000</v>
      </c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</row>
    <row r="20" spans="1:62" s="39" customFormat="1">
      <c r="A20" s="30">
        <v>2.2000000000000002</v>
      </c>
      <c r="B20" s="34" t="s">
        <v>16</v>
      </c>
      <c r="C20" s="36"/>
      <c r="D20" s="37"/>
      <c r="E20" s="36"/>
      <c r="F20" s="38"/>
      <c r="G20" s="38">
        <v>15000</v>
      </c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</row>
    <row r="21" spans="1:62" s="39" customFormat="1">
      <c r="A21" s="30">
        <v>2.2999999999999998</v>
      </c>
      <c r="B21" s="34" t="s">
        <v>17</v>
      </c>
      <c r="C21" s="36"/>
      <c r="D21" s="37"/>
      <c r="E21" s="36"/>
      <c r="F21" s="38"/>
      <c r="G21" s="38"/>
      <c r="H21" s="38">
        <v>12000</v>
      </c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</row>
    <row r="22" spans="1:62" s="39" customFormat="1">
      <c r="A22" s="30">
        <v>2.4</v>
      </c>
      <c r="B22" s="34" t="s">
        <v>18</v>
      </c>
      <c r="C22" s="36"/>
      <c r="D22" s="37"/>
      <c r="E22" s="36"/>
      <c r="F22" s="38"/>
      <c r="G22" s="38"/>
      <c r="H22" s="38">
        <v>10000</v>
      </c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</row>
    <row r="23" spans="1:62" s="39" customFormat="1">
      <c r="A23" s="65" t="s">
        <v>19</v>
      </c>
      <c r="B23" s="66"/>
      <c r="C23" s="40"/>
      <c r="D23" s="41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</row>
    <row r="24" spans="1:62" s="39" customFormat="1">
      <c r="A24" s="30">
        <v>3.1</v>
      </c>
      <c r="B24" s="34" t="s">
        <v>20</v>
      </c>
      <c r="C24" s="36"/>
      <c r="D24" s="37"/>
      <c r="E24" s="36"/>
      <c r="F24" s="38"/>
      <c r="G24" s="38"/>
      <c r="H24" s="38"/>
      <c r="I24" s="38">
        <v>8000</v>
      </c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</row>
    <row r="25" spans="1:62" s="39" customFormat="1">
      <c r="A25" s="30">
        <v>3.2</v>
      </c>
      <c r="B25" s="34" t="s">
        <v>21</v>
      </c>
      <c r="C25" s="36"/>
      <c r="D25" s="37"/>
      <c r="E25" s="36"/>
      <c r="F25" s="38"/>
      <c r="G25" s="38"/>
      <c r="H25" s="38"/>
      <c r="I25" s="38">
        <v>18000</v>
      </c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</row>
    <row r="26" spans="1:62" s="39" customFormat="1">
      <c r="A26" s="30">
        <v>3.3</v>
      </c>
      <c r="B26" s="34" t="s">
        <v>22</v>
      </c>
      <c r="C26" s="36"/>
      <c r="D26" s="37"/>
      <c r="E26" s="36"/>
      <c r="F26" s="38"/>
      <c r="G26" s="38"/>
      <c r="H26" s="38"/>
      <c r="I26" s="38"/>
      <c r="J26" s="38">
        <v>14500</v>
      </c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</row>
    <row r="27" spans="1:62" s="39" customFormat="1">
      <c r="A27" s="30">
        <v>3.4</v>
      </c>
      <c r="B27" s="34" t="s">
        <v>23</v>
      </c>
      <c r="C27" s="36"/>
      <c r="D27" s="37"/>
      <c r="E27" s="36"/>
      <c r="F27" s="38"/>
      <c r="G27" s="38"/>
      <c r="H27" s="38"/>
      <c r="I27" s="38"/>
      <c r="J27" s="38">
        <v>12000</v>
      </c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</row>
    <row r="28" spans="1:62" s="39" customFormat="1">
      <c r="A28" s="65" t="s">
        <v>24</v>
      </c>
      <c r="B28" s="66"/>
      <c r="C28" s="40"/>
      <c r="D28" s="41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</row>
    <row r="29" spans="1:62" s="39" customFormat="1">
      <c r="A29" s="30">
        <v>4.0999999999999996</v>
      </c>
      <c r="B29" s="34" t="s">
        <v>25</v>
      </c>
      <c r="C29" s="36"/>
      <c r="D29" s="37"/>
      <c r="E29" s="36"/>
      <c r="F29" s="38"/>
      <c r="G29" s="38"/>
      <c r="H29" s="38"/>
      <c r="I29" s="38"/>
      <c r="J29" s="38">
        <v>20000</v>
      </c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</row>
    <row r="30" spans="1:62" s="39" customFormat="1">
      <c r="A30" s="30">
        <v>4.2</v>
      </c>
      <c r="B30" s="34" t="s">
        <v>26</v>
      </c>
      <c r="C30" s="36"/>
      <c r="D30" s="37"/>
      <c r="E30" s="36"/>
      <c r="F30" s="38"/>
      <c r="G30" s="38"/>
      <c r="H30" s="38"/>
      <c r="I30" s="38"/>
      <c r="J30" s="38">
        <v>18000</v>
      </c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</row>
    <row r="31" spans="1:62" s="39" customFormat="1">
      <c r="A31" s="30">
        <v>4.3</v>
      </c>
      <c r="B31" s="34" t="s">
        <v>27</v>
      </c>
      <c r="C31" s="36"/>
      <c r="D31" s="37"/>
      <c r="E31" s="36"/>
      <c r="F31" s="38"/>
      <c r="G31" s="38"/>
      <c r="H31" s="38"/>
      <c r="I31" s="38"/>
      <c r="J31" s="38"/>
      <c r="K31" s="38">
        <v>22500</v>
      </c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</row>
    <row r="32" spans="1:62" s="39" customFormat="1">
      <c r="A32" s="30">
        <v>4.4000000000000004</v>
      </c>
      <c r="B32" s="34" t="s">
        <v>28</v>
      </c>
      <c r="C32" s="36"/>
      <c r="D32" s="37"/>
      <c r="E32" s="36"/>
      <c r="F32" s="38"/>
      <c r="G32" s="38"/>
      <c r="H32" s="38"/>
      <c r="I32" s="38"/>
      <c r="J32" s="38"/>
      <c r="K32" s="38">
        <v>20000</v>
      </c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</row>
    <row r="33" spans="1:62" s="39" customFormat="1">
      <c r="A33" s="67" t="s">
        <v>29</v>
      </c>
      <c r="B33" s="68"/>
      <c r="C33" s="42"/>
      <c r="D33" s="43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</row>
    <row r="34" spans="1:62" s="47" customFormat="1">
      <c r="A34" s="35">
        <v>5.0999999999999996</v>
      </c>
      <c r="B34" s="34" t="s">
        <v>30</v>
      </c>
      <c r="C34" s="44"/>
      <c r="D34" s="45"/>
      <c r="E34" s="44"/>
      <c r="F34" s="46"/>
      <c r="G34" s="46"/>
      <c r="H34" s="46"/>
      <c r="I34" s="46"/>
      <c r="J34" s="46"/>
      <c r="K34" s="46">
        <v>10000</v>
      </c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</row>
    <row r="35" spans="1:62" s="47" customFormat="1">
      <c r="A35" s="35">
        <v>5.2</v>
      </c>
      <c r="B35" s="34" t="s">
        <v>31</v>
      </c>
      <c r="C35" s="44"/>
      <c r="D35" s="45"/>
      <c r="E35" s="44"/>
      <c r="F35" s="46"/>
      <c r="G35" s="46"/>
      <c r="H35" s="46"/>
      <c r="I35" s="46"/>
      <c r="J35" s="46"/>
      <c r="K35" s="46">
        <v>9000</v>
      </c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</row>
    <row r="36" spans="1:62" s="47" customFormat="1">
      <c r="A36" s="35">
        <v>5.3</v>
      </c>
      <c r="B36" s="34" t="s">
        <v>32</v>
      </c>
      <c r="C36" s="44"/>
      <c r="D36" s="45"/>
      <c r="E36" s="44"/>
      <c r="F36" s="46"/>
      <c r="G36" s="46"/>
      <c r="H36" s="46"/>
      <c r="I36" s="46"/>
      <c r="J36" s="46"/>
      <c r="K36" s="46"/>
      <c r="L36" s="46">
        <v>7000</v>
      </c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</row>
    <row r="37" spans="1:62" s="47" customFormat="1">
      <c r="A37" s="35">
        <v>5.4</v>
      </c>
      <c r="B37" s="34" t="s">
        <v>33</v>
      </c>
      <c r="C37" s="44"/>
      <c r="D37" s="45"/>
      <c r="E37" s="44"/>
      <c r="F37" s="46"/>
      <c r="G37" s="46"/>
      <c r="H37" s="46"/>
      <c r="I37" s="46"/>
      <c r="J37" s="46"/>
      <c r="K37" s="46"/>
      <c r="L37" s="46">
        <v>9000</v>
      </c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</row>
    <row r="38" spans="1:62" s="39" customFormat="1">
      <c r="A38" s="67" t="s">
        <v>34</v>
      </c>
      <c r="B38" s="68"/>
      <c r="C38" s="42"/>
      <c r="D38" s="43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2"/>
    </row>
    <row r="39" spans="1:62" s="47" customFormat="1">
      <c r="A39" s="35">
        <v>6.1</v>
      </c>
      <c r="B39" s="34" t="s">
        <v>35</v>
      </c>
      <c r="C39" s="44"/>
      <c r="D39" s="45"/>
      <c r="E39" s="44"/>
      <c r="F39" s="46"/>
      <c r="G39" s="46"/>
      <c r="H39" s="46"/>
      <c r="I39" s="46"/>
      <c r="J39" s="46"/>
      <c r="K39" s="46"/>
      <c r="L39" s="46"/>
      <c r="M39" s="46">
        <v>18000</v>
      </c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</row>
    <row r="40" spans="1:62" s="47" customFormat="1">
      <c r="A40" s="35">
        <v>6.2</v>
      </c>
      <c r="B40" s="34" t="s">
        <v>36</v>
      </c>
      <c r="C40" s="44"/>
      <c r="D40" s="45"/>
      <c r="E40" s="44"/>
      <c r="F40" s="46"/>
      <c r="G40" s="46"/>
      <c r="H40" s="46"/>
      <c r="I40" s="46"/>
      <c r="J40" s="46"/>
      <c r="K40" s="46"/>
      <c r="L40" s="46"/>
      <c r="M40" s="46">
        <v>15000</v>
      </c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6"/>
    </row>
    <row r="41" spans="1:62" s="47" customFormat="1">
      <c r="A41" s="35">
        <v>6.3</v>
      </c>
      <c r="B41" s="34" t="s">
        <v>37</v>
      </c>
      <c r="C41" s="44"/>
      <c r="D41" s="45"/>
      <c r="E41" s="44"/>
      <c r="F41" s="46"/>
      <c r="G41" s="46"/>
      <c r="H41" s="46"/>
      <c r="I41" s="46"/>
      <c r="J41" s="46"/>
      <c r="K41" s="46"/>
      <c r="L41" s="46"/>
      <c r="M41" s="46">
        <v>20000</v>
      </c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</row>
    <row r="42" spans="1:62" s="47" customFormat="1">
      <c r="A42" s="35">
        <v>6.4</v>
      </c>
      <c r="B42" s="34" t="s">
        <v>38</v>
      </c>
      <c r="C42" s="44"/>
      <c r="D42" s="45"/>
      <c r="E42" s="44"/>
      <c r="F42" s="46"/>
      <c r="G42" s="46"/>
      <c r="H42" s="46"/>
      <c r="I42" s="46"/>
      <c r="J42" s="46"/>
      <c r="K42" s="46"/>
      <c r="L42" s="46"/>
      <c r="M42" s="46"/>
      <c r="N42" s="46">
        <v>14500</v>
      </c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6"/>
    </row>
    <row r="43" spans="1:62" s="47" customFormat="1">
      <c r="A43" s="35">
        <v>6.5</v>
      </c>
      <c r="B43" s="34" t="s">
        <v>39</v>
      </c>
      <c r="C43" s="44"/>
      <c r="D43" s="45"/>
      <c r="E43" s="44"/>
      <c r="F43" s="46"/>
      <c r="G43" s="46"/>
      <c r="H43" s="46"/>
      <c r="I43" s="46"/>
      <c r="J43" s="46"/>
      <c r="K43" s="46"/>
      <c r="L43" s="46"/>
      <c r="M43" s="46"/>
      <c r="N43" s="46">
        <v>12000</v>
      </c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46"/>
    </row>
    <row r="44" spans="1:62" s="47" customFormat="1">
      <c r="A44" s="35">
        <v>6.6</v>
      </c>
      <c r="B44" s="34" t="s">
        <v>40</v>
      </c>
      <c r="C44" s="44"/>
      <c r="D44" s="45"/>
      <c r="E44" s="44"/>
      <c r="F44" s="46"/>
      <c r="G44" s="46"/>
      <c r="H44" s="46"/>
      <c r="I44" s="46"/>
      <c r="J44" s="46"/>
      <c r="K44" s="46"/>
      <c r="L44" s="46"/>
      <c r="M44" s="46"/>
      <c r="N44" s="46">
        <v>8000</v>
      </c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6"/>
    </row>
    <row r="45" spans="1:62" s="39" customFormat="1">
      <c r="A45" s="25"/>
      <c r="B45" s="33" t="s">
        <v>41</v>
      </c>
      <c r="C45" s="48">
        <f>SUM(C10:C44)</f>
        <v>23500</v>
      </c>
      <c r="D45" s="48">
        <f t="shared" ref="D45:AH45" si="0">SUM(D10:D44)</f>
        <v>18000</v>
      </c>
      <c r="E45" s="48">
        <f t="shared" si="0"/>
        <v>8500</v>
      </c>
      <c r="F45" s="48">
        <f t="shared" si="0"/>
        <v>2500</v>
      </c>
      <c r="G45" s="48">
        <f>SUM(G10:G44)</f>
        <v>20000</v>
      </c>
      <c r="H45" s="48">
        <f t="shared" si="0"/>
        <v>22000</v>
      </c>
      <c r="I45" s="48">
        <f t="shared" si="0"/>
        <v>26000</v>
      </c>
      <c r="J45" s="48">
        <f t="shared" si="0"/>
        <v>64500</v>
      </c>
      <c r="K45" s="48">
        <f t="shared" si="0"/>
        <v>61500</v>
      </c>
      <c r="L45" s="48">
        <f t="shared" si="0"/>
        <v>16000</v>
      </c>
      <c r="M45" s="48">
        <f t="shared" si="0"/>
        <v>53000</v>
      </c>
      <c r="N45" s="48">
        <f t="shared" si="0"/>
        <v>34500</v>
      </c>
      <c r="O45" s="48">
        <f t="shared" si="0"/>
        <v>0</v>
      </c>
      <c r="P45" s="48">
        <f t="shared" si="0"/>
        <v>0</v>
      </c>
      <c r="Q45" s="48">
        <f t="shared" si="0"/>
        <v>0</v>
      </c>
      <c r="R45" s="48">
        <f t="shared" si="0"/>
        <v>0</v>
      </c>
      <c r="S45" s="48">
        <f t="shared" si="0"/>
        <v>0</v>
      </c>
      <c r="T45" s="48">
        <f t="shared" si="0"/>
        <v>0</v>
      </c>
      <c r="U45" s="48">
        <f t="shared" si="0"/>
        <v>0</v>
      </c>
      <c r="V45" s="48">
        <f t="shared" si="0"/>
        <v>0</v>
      </c>
      <c r="W45" s="48">
        <f t="shared" si="0"/>
        <v>0</v>
      </c>
      <c r="X45" s="48">
        <f t="shared" si="0"/>
        <v>0</v>
      </c>
      <c r="Y45" s="48">
        <f t="shared" si="0"/>
        <v>0</v>
      </c>
      <c r="Z45" s="48">
        <f t="shared" si="0"/>
        <v>0</v>
      </c>
      <c r="AA45" s="48">
        <f t="shared" si="0"/>
        <v>0</v>
      </c>
      <c r="AB45" s="48">
        <f t="shared" si="0"/>
        <v>0</v>
      </c>
      <c r="AC45" s="48">
        <f t="shared" si="0"/>
        <v>0</v>
      </c>
      <c r="AD45" s="48">
        <f t="shared" si="0"/>
        <v>0</v>
      </c>
      <c r="AE45" s="48">
        <f t="shared" si="0"/>
        <v>0</v>
      </c>
      <c r="AF45" s="48">
        <f t="shared" si="0"/>
        <v>0</v>
      </c>
      <c r="AG45" s="48">
        <f t="shared" si="0"/>
        <v>0</v>
      </c>
      <c r="AH45" s="48">
        <f t="shared" si="0"/>
        <v>0</v>
      </c>
      <c r="AI45" s="48">
        <f t="shared" ref="AI45:BJ45" si="1">SUM(AI10:AI44)</f>
        <v>0</v>
      </c>
      <c r="AJ45" s="48">
        <f t="shared" si="1"/>
        <v>0</v>
      </c>
      <c r="AK45" s="48">
        <f t="shared" si="1"/>
        <v>0</v>
      </c>
      <c r="AL45" s="48">
        <f t="shared" si="1"/>
        <v>0</v>
      </c>
      <c r="AM45" s="48">
        <f t="shared" si="1"/>
        <v>0</v>
      </c>
      <c r="AN45" s="48">
        <f t="shared" si="1"/>
        <v>0</v>
      </c>
      <c r="AO45" s="48">
        <f t="shared" si="1"/>
        <v>0</v>
      </c>
      <c r="AP45" s="48">
        <f t="shared" si="1"/>
        <v>0</v>
      </c>
      <c r="AQ45" s="48">
        <f t="shared" si="1"/>
        <v>0</v>
      </c>
      <c r="AR45" s="48">
        <f t="shared" si="1"/>
        <v>0</v>
      </c>
      <c r="AS45" s="48">
        <f t="shared" si="1"/>
        <v>0</v>
      </c>
      <c r="AT45" s="48">
        <f t="shared" si="1"/>
        <v>0</v>
      </c>
      <c r="AU45" s="48">
        <f t="shared" si="1"/>
        <v>0</v>
      </c>
      <c r="AV45" s="48">
        <f t="shared" si="1"/>
        <v>0</v>
      </c>
      <c r="AW45" s="48">
        <f t="shared" si="1"/>
        <v>0</v>
      </c>
      <c r="AX45" s="48">
        <f t="shared" si="1"/>
        <v>0</v>
      </c>
      <c r="AY45" s="48">
        <f t="shared" si="1"/>
        <v>0</v>
      </c>
      <c r="AZ45" s="48">
        <f t="shared" si="1"/>
        <v>0</v>
      </c>
      <c r="BA45" s="48">
        <f t="shared" si="1"/>
        <v>0</v>
      </c>
      <c r="BB45" s="48">
        <f t="shared" si="1"/>
        <v>0</v>
      </c>
      <c r="BC45" s="48">
        <f t="shared" si="1"/>
        <v>0</v>
      </c>
      <c r="BD45" s="48">
        <f t="shared" si="1"/>
        <v>0</v>
      </c>
      <c r="BE45" s="48">
        <f t="shared" si="1"/>
        <v>0</v>
      </c>
      <c r="BF45" s="48">
        <f t="shared" si="1"/>
        <v>0</v>
      </c>
      <c r="BG45" s="48">
        <f t="shared" si="1"/>
        <v>0</v>
      </c>
      <c r="BH45" s="48">
        <f t="shared" si="1"/>
        <v>0</v>
      </c>
      <c r="BI45" s="48">
        <f t="shared" si="1"/>
        <v>0</v>
      </c>
      <c r="BJ45" s="48">
        <f t="shared" si="1"/>
        <v>0</v>
      </c>
    </row>
    <row r="46" spans="1:62">
      <c r="B46" s="49"/>
    </row>
    <row r="47" spans="1:62">
      <c r="C47" s="26" t="s">
        <v>42</v>
      </c>
    </row>
    <row r="48" spans="1:62">
      <c r="B48" s="49">
        <f>SUM(C48:H48)</f>
        <v>350000</v>
      </c>
      <c r="C48" s="49">
        <f>SUM(C10:C12,D13:D14,E15:E16,F18,F17)</f>
        <v>52500</v>
      </c>
      <c r="D48" s="49">
        <f>SUM(G19:G20,H21:H22)</f>
        <v>42000</v>
      </c>
      <c r="E48" s="49">
        <f>SUM(I24:I25,J26:J27)</f>
        <v>52500</v>
      </c>
      <c r="F48" s="49">
        <f>SUM(J29:J30,K31:K32)</f>
        <v>80500</v>
      </c>
      <c r="G48" s="49">
        <f>SUM(K34:K35,L36:L37)</f>
        <v>35000</v>
      </c>
      <c r="H48" s="49">
        <f>SUM(M39:M41,N42:N44)</f>
        <v>87500</v>
      </c>
    </row>
    <row r="49" spans="3:8">
      <c r="C49" s="26">
        <v>1</v>
      </c>
      <c r="D49" s="26">
        <v>2</v>
      </c>
      <c r="E49" s="26">
        <v>3</v>
      </c>
      <c r="F49" s="26">
        <v>4</v>
      </c>
      <c r="G49" s="26">
        <v>5</v>
      </c>
      <c r="H49" s="26">
        <v>6</v>
      </c>
    </row>
  </sheetData>
  <mergeCells count="8">
    <mergeCell ref="A6:G6"/>
    <mergeCell ref="A28:B28"/>
    <mergeCell ref="A33:B33"/>
    <mergeCell ref="A38:B38"/>
    <mergeCell ref="A8:B8"/>
    <mergeCell ref="A18:B18"/>
    <mergeCell ref="A23:B23"/>
    <mergeCell ref="A9:B9"/>
  </mergeCells>
  <phoneticPr fontId="11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44"/>
  <sheetViews>
    <sheetView showGridLines="0" tabSelected="1" topLeftCell="C5" zoomScale="82" zoomScaleNormal="90" workbookViewId="0">
      <selection activeCell="D17" sqref="D17"/>
    </sheetView>
  </sheetViews>
  <sheetFormatPr defaultColWidth="11.42578125" defaultRowHeight="14.45"/>
  <cols>
    <col min="2" max="2" width="3.28515625" customWidth="1"/>
    <col min="3" max="3" width="44.7109375" bestFit="1" customWidth="1"/>
    <col min="4" max="4" width="16.7109375" customWidth="1"/>
    <col min="5" max="5" width="16.140625" bestFit="1" customWidth="1"/>
    <col min="6" max="6" width="17.42578125" customWidth="1"/>
    <col min="7" max="8" width="14.7109375" bestFit="1" customWidth="1"/>
    <col min="9" max="9" width="14.42578125" bestFit="1" customWidth="1"/>
    <col min="10" max="10" width="16.42578125" bestFit="1" customWidth="1"/>
    <col min="11" max="11" width="14.42578125" bestFit="1" customWidth="1"/>
    <col min="12" max="12" width="16.42578125" bestFit="1" customWidth="1"/>
    <col min="13" max="14" width="15.42578125" bestFit="1" customWidth="1"/>
    <col min="15" max="15" width="16.7109375" customWidth="1"/>
    <col min="16" max="16" width="3.28515625" customWidth="1"/>
  </cols>
  <sheetData>
    <row r="1" spans="2:15" ht="15" thickBot="1"/>
    <row r="2" spans="2:15" ht="15" thickTop="1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2:15">
      <c r="B3" s="5"/>
      <c r="O3" s="6"/>
    </row>
    <row r="4" spans="2:15">
      <c r="B4" s="5"/>
      <c r="O4" s="6"/>
    </row>
    <row r="5" spans="2:15">
      <c r="B5" s="5"/>
      <c r="O5" s="6"/>
    </row>
    <row r="6" spans="2:15">
      <c r="B6" s="5"/>
      <c r="O6" s="6"/>
    </row>
    <row r="7" spans="2:15" ht="21">
      <c r="B7" s="5"/>
      <c r="C7" s="52" t="s">
        <v>43</v>
      </c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3"/>
    </row>
    <row r="8" spans="2:15">
      <c r="B8" s="5"/>
      <c r="O8" s="6"/>
    </row>
    <row r="9" spans="2:15">
      <c r="B9" s="5"/>
      <c r="C9" s="21" t="s">
        <v>44</v>
      </c>
      <c r="D9" s="18" t="s">
        <v>1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20"/>
    </row>
    <row r="10" spans="2:15">
      <c r="B10" s="5"/>
      <c r="C10" s="21" t="s">
        <v>45</v>
      </c>
      <c r="D10" s="54" t="s">
        <v>2</v>
      </c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6"/>
    </row>
    <row r="11" spans="2:15">
      <c r="B11" s="5"/>
      <c r="C11" s="21" t="s">
        <v>46</v>
      </c>
      <c r="D11" s="57" t="s">
        <v>47</v>
      </c>
      <c r="E11" s="58"/>
      <c r="F11" s="59" t="s">
        <v>48</v>
      </c>
      <c r="G11" s="60"/>
      <c r="H11" s="54" t="s">
        <v>49</v>
      </c>
      <c r="I11" s="55"/>
      <c r="J11" s="61"/>
      <c r="K11" s="59" t="s">
        <v>50</v>
      </c>
      <c r="L11" s="60"/>
      <c r="M11" s="57" t="s">
        <v>51</v>
      </c>
      <c r="N11" s="62"/>
      <c r="O11" s="63"/>
    </row>
    <row r="12" spans="2:15">
      <c r="B12" s="5"/>
      <c r="C12" s="12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5"/>
    </row>
    <row r="13" spans="2:15">
      <c r="B13" s="5"/>
      <c r="C13" s="22"/>
      <c r="D13" s="50" t="s">
        <v>4</v>
      </c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1"/>
    </row>
    <row r="14" spans="2:15">
      <c r="B14" s="5"/>
      <c r="C14" s="23"/>
      <c r="D14" s="24">
        <v>1</v>
      </c>
      <c r="E14" s="24">
        <v>2</v>
      </c>
      <c r="F14" s="24">
        <v>3</v>
      </c>
      <c r="G14" s="24">
        <v>4</v>
      </c>
      <c r="H14" s="24">
        <v>5</v>
      </c>
      <c r="I14" s="24">
        <v>6</v>
      </c>
      <c r="J14" s="24">
        <v>7</v>
      </c>
      <c r="K14" s="24">
        <v>8</v>
      </c>
      <c r="L14" s="24">
        <v>9</v>
      </c>
      <c r="M14" s="24">
        <v>10</v>
      </c>
      <c r="N14" s="24">
        <v>11</v>
      </c>
      <c r="O14" s="24">
        <v>12</v>
      </c>
    </row>
    <row r="15" spans="2:15">
      <c r="B15" s="5"/>
      <c r="C15" s="21" t="s">
        <v>52</v>
      </c>
      <c r="D15" s="1">
        <f>'Detalle de Costos'!C45</f>
        <v>23500</v>
      </c>
      <c r="E15" s="1">
        <f>'Detalle de Costos'!D45</f>
        <v>18000</v>
      </c>
      <c r="F15" s="1">
        <f>'Detalle de Costos'!E45</f>
        <v>8500</v>
      </c>
      <c r="G15" s="1">
        <f>'Detalle de Costos'!F45</f>
        <v>2500</v>
      </c>
      <c r="H15" s="1">
        <f>'Detalle de Costos'!G45</f>
        <v>20000</v>
      </c>
      <c r="I15" s="1">
        <f>'Detalle de Costos'!H45</f>
        <v>22000</v>
      </c>
      <c r="J15" s="1">
        <f>'Detalle de Costos'!I45</f>
        <v>26000</v>
      </c>
      <c r="K15" s="1">
        <f>'Detalle de Costos'!J45</f>
        <v>64500</v>
      </c>
      <c r="L15" s="1">
        <f>'Detalle de Costos'!K45</f>
        <v>61500</v>
      </c>
      <c r="M15" s="1">
        <f>'Detalle de Costos'!L45</f>
        <v>16000</v>
      </c>
      <c r="N15" s="1">
        <f>'Detalle de Costos'!M45</f>
        <v>53000</v>
      </c>
      <c r="O15" s="1">
        <f>'Detalle de Costos'!N45</f>
        <v>34500</v>
      </c>
    </row>
    <row r="16" spans="2:15">
      <c r="B16" s="5"/>
      <c r="C16" s="21" t="s">
        <v>53</v>
      </c>
      <c r="D16" s="17">
        <f>D15</f>
        <v>23500</v>
      </c>
      <c r="E16" s="1">
        <f>E15+D16</f>
        <v>41500</v>
      </c>
      <c r="F16" s="1">
        <f>F15+E16</f>
        <v>50000</v>
      </c>
      <c r="G16" s="1">
        <f t="shared" ref="G16:O16" si="0">G15+F16</f>
        <v>52500</v>
      </c>
      <c r="H16" s="1">
        <f t="shared" si="0"/>
        <v>72500</v>
      </c>
      <c r="I16" s="1">
        <f t="shared" si="0"/>
        <v>94500</v>
      </c>
      <c r="J16" s="1">
        <f t="shared" si="0"/>
        <v>120500</v>
      </c>
      <c r="K16" s="1">
        <f t="shared" si="0"/>
        <v>185000</v>
      </c>
      <c r="L16" s="1">
        <f t="shared" si="0"/>
        <v>246500</v>
      </c>
      <c r="M16" s="1">
        <f t="shared" si="0"/>
        <v>262500</v>
      </c>
      <c r="N16" s="1">
        <f t="shared" si="0"/>
        <v>315500</v>
      </c>
      <c r="O16" s="1">
        <f t="shared" si="0"/>
        <v>350000</v>
      </c>
    </row>
    <row r="17" spans="2:15">
      <c r="B17" s="5"/>
      <c r="C17" s="21" t="s">
        <v>54</v>
      </c>
      <c r="D17" s="1">
        <v>23000</v>
      </c>
      <c r="E17" s="1">
        <v>16000</v>
      </c>
      <c r="F17" s="1"/>
      <c r="G17" s="1"/>
      <c r="H17" s="1"/>
      <c r="I17" s="1"/>
      <c r="J17" s="1"/>
      <c r="K17" s="1"/>
      <c r="L17" s="1"/>
      <c r="M17" s="1"/>
      <c r="N17" s="1"/>
      <c r="O17" s="16"/>
    </row>
    <row r="18" spans="2:15">
      <c r="B18" s="5"/>
      <c r="C18" s="21" t="s">
        <v>55</v>
      </c>
      <c r="D18" s="1">
        <v>23000</v>
      </c>
      <c r="E18" s="1">
        <f>D18+E17</f>
        <v>39000</v>
      </c>
      <c r="F18" s="1"/>
      <c r="G18" s="1"/>
      <c r="H18" s="1"/>
      <c r="I18" s="1"/>
      <c r="J18" s="1"/>
      <c r="K18" s="1"/>
      <c r="L18" s="1"/>
      <c r="M18" s="1"/>
      <c r="N18" s="1"/>
      <c r="O18" s="16"/>
    </row>
    <row r="19" spans="2:15">
      <c r="B19" s="5"/>
      <c r="O19" s="6"/>
    </row>
    <row r="20" spans="2:15">
      <c r="B20" s="5"/>
      <c r="O20" s="6"/>
    </row>
    <row r="21" spans="2:15">
      <c r="B21" s="5"/>
      <c r="C21" s="7"/>
      <c r="D21" s="13"/>
      <c r="E21" s="14"/>
      <c r="O21" s="6"/>
    </row>
    <row r="22" spans="2:15">
      <c r="B22" s="5"/>
      <c r="O22" s="6"/>
    </row>
    <row r="23" spans="2:15">
      <c r="B23" s="5"/>
      <c r="O23" s="6"/>
    </row>
    <row r="24" spans="2:15">
      <c r="B24" s="5"/>
      <c r="O24" s="6"/>
    </row>
    <row r="25" spans="2:15">
      <c r="B25" s="5"/>
      <c r="O25" s="6"/>
    </row>
    <row r="26" spans="2:15">
      <c r="B26" s="5"/>
      <c r="O26" s="6"/>
    </row>
    <row r="27" spans="2:15">
      <c r="B27" s="5"/>
      <c r="O27" s="6"/>
    </row>
    <row r="28" spans="2:15">
      <c r="B28" s="5"/>
      <c r="O28" s="6"/>
    </row>
    <row r="29" spans="2:15">
      <c r="B29" s="5"/>
      <c r="O29" s="6"/>
    </row>
    <row r="30" spans="2:15">
      <c r="B30" s="5"/>
      <c r="O30" s="6"/>
    </row>
    <row r="31" spans="2:15">
      <c r="B31" s="5"/>
      <c r="O31" s="6"/>
    </row>
    <row r="32" spans="2:15">
      <c r="B32" s="5"/>
      <c r="O32" s="6"/>
    </row>
    <row r="33" spans="2:15">
      <c r="B33" s="5"/>
      <c r="O33" s="6"/>
    </row>
    <row r="34" spans="2:15">
      <c r="B34" s="5"/>
      <c r="O34" s="6"/>
    </row>
    <row r="35" spans="2:15">
      <c r="B35" s="5"/>
      <c r="O35" s="6"/>
    </row>
    <row r="36" spans="2:15">
      <c r="B36" s="5"/>
      <c r="O36" s="6"/>
    </row>
    <row r="37" spans="2:15">
      <c r="B37" s="5"/>
      <c r="O37" s="6"/>
    </row>
    <row r="38" spans="2:15">
      <c r="B38" s="5"/>
      <c r="O38" s="6"/>
    </row>
    <row r="39" spans="2:15">
      <c r="B39" s="5"/>
      <c r="O39" s="6"/>
    </row>
    <row r="40" spans="2:15">
      <c r="B40" s="5"/>
      <c r="O40" s="6"/>
    </row>
    <row r="41" spans="2:15">
      <c r="B41" s="5"/>
      <c r="O41" s="6"/>
    </row>
    <row r="42" spans="2:15">
      <c r="B42" s="5"/>
      <c r="O42" s="6"/>
    </row>
    <row r="43" spans="2:15" ht="15" thickBot="1">
      <c r="B43" s="8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10"/>
    </row>
    <row r="44" spans="2:15" ht="15" thickTop="1"/>
  </sheetData>
  <mergeCells count="8">
    <mergeCell ref="D13:O13"/>
    <mergeCell ref="C7:O7"/>
    <mergeCell ref="D10:O10"/>
    <mergeCell ref="D11:E11"/>
    <mergeCell ref="F11:G11"/>
    <mergeCell ref="H11:J11"/>
    <mergeCell ref="K11:L11"/>
    <mergeCell ref="M11:O11"/>
  </mergeCells>
  <phoneticPr fontId="11" type="noConversion"/>
  <pageMargins left="0.7" right="0.7" top="0.75" bottom="0.75" header="0.3" footer="0.3"/>
  <pageSetup scale="3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8bb3860-613a-4c0a-85e7-29b43b622a4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76492BC76C0754299B74366EDD3DA1B" ma:contentTypeVersion="14" ma:contentTypeDescription="Crear nuevo documento." ma:contentTypeScope="" ma:versionID="085e38e23bab84e090b198977572f86c">
  <xsd:schema xmlns:xsd="http://www.w3.org/2001/XMLSchema" xmlns:xs="http://www.w3.org/2001/XMLSchema" xmlns:p="http://schemas.microsoft.com/office/2006/metadata/properties" xmlns:ns3="08bb3860-613a-4c0a-85e7-29b43b622a49" xmlns:ns4="440f87ab-1b82-4920-bd2f-b8b4e35b4305" targetNamespace="http://schemas.microsoft.com/office/2006/metadata/properties" ma:root="true" ma:fieldsID="235987a77f649b4c2459da93d547bad2" ns3:_="" ns4:_="">
    <xsd:import namespace="08bb3860-613a-4c0a-85e7-29b43b622a49"/>
    <xsd:import namespace="440f87ab-1b82-4920-bd2f-b8b4e35b430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bb3860-613a-4c0a-85e7-29b43b622a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0f87ab-1b82-4920-bd2f-b8b4e35b43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8A1E74-7BFF-4086-A170-6F47264285EB}"/>
</file>

<file path=customXml/itemProps2.xml><?xml version="1.0" encoding="utf-8"?>
<ds:datastoreItem xmlns:ds="http://schemas.openxmlformats.org/officeDocument/2006/customXml" ds:itemID="{D50E9AA5-0EDF-4DAA-8754-67818CDF839F}"/>
</file>

<file path=customXml/itemProps3.xml><?xml version="1.0" encoding="utf-8"?>
<ds:datastoreItem xmlns:ds="http://schemas.openxmlformats.org/officeDocument/2006/customXml" ds:itemID="{3B11C1A6-9FCA-4300-93E7-AA98DF5784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hrizo</dc:creator>
  <cp:keywords/>
  <dc:description/>
  <cp:lastModifiedBy/>
  <cp:revision/>
  <dcterms:created xsi:type="dcterms:W3CDTF">2012-05-23T17:29:07Z</dcterms:created>
  <dcterms:modified xsi:type="dcterms:W3CDTF">2026-04-24T15:23:28Z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0x010100B76492BC76C0754299B74366EDD3DA1B</vt:lpwstr>
  </property>
</Properties>
</file>